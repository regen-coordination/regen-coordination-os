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2026 Tracker" sheetId="1" r:id="rId5"/>
    <sheet state="visible" name="2025-2026 Cash Flow" sheetId="2" r:id="rId6"/>
    <sheet state="visible" name="2023-2024 Tracker" sheetId="3" r:id="rId7"/>
    <sheet state="visible" name="2023-2024 Cash Flow" sheetId="4" r:id="rId8"/>
    <sheet state="visible" name="Lists" sheetId="5" r:id="rId9"/>
    <sheet state="visible" name="Fixed Costs Reference" sheetId="6" r:id="rId10"/>
    <sheet state="visible" name="Project Tracking" sheetId="7" r:id="rId11"/>
  </sheets>
  <definedNames>
    <definedName hidden="1" localSheetId="0" name="_xlnm._FilterDatabase">'2025-2026 Tracker'!$A$1:$S$1</definedName>
    <definedName hidden="1" localSheetId="2" name="_xlnm._FilterDatabase">'2023-2024 Tracker'!$A$1:$S$1</definedName>
  </definedNames>
  <calcPr/>
</workbook>
</file>

<file path=xl/sharedStrings.xml><?xml version="1.0" encoding="utf-8"?>
<sst xmlns="http://schemas.openxmlformats.org/spreadsheetml/2006/main" count="1000" uniqueCount="202">
  <si>
    <t>Date</t>
  </si>
  <si>
    <t>Type</t>
  </si>
  <si>
    <t>Category</t>
  </si>
  <si>
    <t>Subcategory</t>
  </si>
  <si>
    <t>Project</t>
  </si>
  <si>
    <t>Counterparty</t>
  </si>
  <si>
    <t>Description</t>
  </si>
  <si>
    <t>Amount (orig)</t>
  </si>
  <si>
    <t>Currency</t>
  </si>
  <si>
    <t>FX rate (to EUR)</t>
  </si>
  <si>
    <t>Amount (EUR)</t>
  </si>
  <si>
    <t>Payment method</t>
  </si>
  <si>
    <t>Status</t>
  </si>
  <si>
    <t>Paid by</t>
  </si>
  <si>
    <t>Reimbursement status</t>
  </si>
  <si>
    <t>Receipt / doc ref</t>
  </si>
  <si>
    <t>Invoice #</t>
  </si>
  <si>
    <t>Notes</t>
  </si>
  <si>
    <t>Estimated?</t>
  </si>
  <si>
    <t>Expense</t>
  </si>
  <si>
    <t>Fixed costs</t>
  </si>
  <si>
    <t>Obsidian Publish</t>
  </si>
  <si>
    <t>ReFi BCN Website maintenance</t>
  </si>
  <si>
    <t>Obsidian</t>
  </si>
  <si>
    <t>Obsidian Publish subscription (monthly)</t>
  </si>
  <si>
    <t>USD</t>
  </si>
  <si>
    <t>Card</t>
  </si>
  <si>
    <t>Cleared</t>
  </si>
  <si>
    <t>Luiz personal</t>
  </si>
  <si>
    <t>To be reimbursed</t>
  </si>
  <si>
    <t>Amount paid: 10 USD (convert to EUR when known). Ongoing, not settled (reimbursement pending).</t>
  </si>
  <si>
    <t>No</t>
  </si>
  <si>
    <t>Obsidian Publish subscription (monthly – last before annual)</t>
  </si>
  <si>
    <t>Amount paid: 10 USD (convert to EUR when known).</t>
  </si>
  <si>
    <t>Obsidian Publish subscription (annual)</t>
  </si>
  <si>
    <t>Amount paid: 96 USD (annual). Ongoing, not settled (reimbursement pending).</t>
  </si>
  <si>
    <t>refibcn.cat domain</t>
  </si>
  <si>
    <t>Domain registrar</t>
  </si>
  <si>
    <t>refibcn.cat domain renewal</t>
  </si>
  <si>
    <t>EUR</t>
  </si>
  <si>
    <t>Ongoing, not settled (reimbursement pending).</t>
  </si>
  <si>
    <t>Notion</t>
  </si>
  <si>
    <t>Notion subscription (monthly)</t>
  </si>
  <si>
    <t>Obsidian Publish subscription (annual renewal)</t>
  </si>
  <si>
    <t>Expected</t>
  </si>
  <si>
    <t>Expected: 96 USD (annual). Convert to EUR when known.</t>
  </si>
  <si>
    <t>Yes</t>
  </si>
  <si>
    <t>Cash Flow — 2025-2026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</si>
  <si>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</si>
  <si>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</si>
  <si>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</si>
  <si>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</si>
  <si>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</si>
  <si>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</si>
  <si>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</si>
  <si>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</si>
  <si>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</si>
  <si>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</si>
  <si>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</si>
  <si>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</si>
  <si>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</si>
  <si>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</si>
  <si>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</si>
  <si>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</si>
  <si>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</si>
  <si>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</si>
  <si>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</si>
  <si>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</si>
  <si>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</si>
  <si>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</si>
  <si>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</si>
  <si>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</si>
  <si>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Total</t>
  </si>
  <si>
    <t>Income</t>
  </si>
  <si>
    <t xml:space="preserve">    Project payments</t>
  </si>
  <si>
    <t xml:space="preserve">    Retainers</t>
  </si>
  <si>
    <t xml:space="preserve">    Grants</t>
  </si>
  <si>
    <t xml:space="preserve">    Consulting/Services</t>
  </si>
  <si>
    <t xml:space="preserve">    Other income</t>
  </si>
  <si>
    <t>Expenses</t>
  </si>
  <si>
    <t xml:space="preserve">    Fixed costs</t>
  </si>
  <si>
    <t xml:space="preserve">        Obsidian Publish</t>
  </si>
  <si>
    <t xml:space="preserve">        refibcn.cat domain</t>
  </si>
  <si>
    <t xml:space="preserve">        Notion</t>
  </si>
  <si>
    <t xml:space="preserve">        Cursor Team</t>
  </si>
  <si>
    <t xml:space="preserve">        Other fixed</t>
  </si>
  <si>
    <t xml:space="preserve">    Variable costs</t>
  </si>
  <si>
    <t xml:space="preserve">        Project-specific expenses</t>
  </si>
  <si>
    <t xml:space="preserve">        Events &amp; workshops</t>
  </si>
  <si>
    <t xml:space="preserve">        Marketing/Comms</t>
  </si>
  <si>
    <t xml:space="preserve">        Professional services</t>
  </si>
  <si>
    <t xml:space="preserve">        Infrastructure/Hosting</t>
  </si>
  <si>
    <t xml:space="preserve">        Travel/Meetings</t>
  </si>
  <si>
    <t xml:space="preserve">        Office supplies/Equipment</t>
  </si>
  <si>
    <t xml:space="preserve">        Other operational costs</t>
  </si>
  <si>
    <t>Net Cash Flow</t>
  </si>
  <si>
    <t>Starting Balance</t>
  </si>
  <si>
    <t>Ending Cash Balance</t>
  </si>
  <si>
    <t>Cash Flow — 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</si>
  <si>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</si>
  <si>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</si>
  <si>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</si>
  <si>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</si>
  <si>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</si>
  <si>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</si>
  <si>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</si>
  <si>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</si>
  <si>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</si>
  <si>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</si>
  <si>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</si>
  <si>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</si>
  <si>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Cash Flow — 2024</t>
  </si>
  <si>
    <t>PaymentMethod</t>
  </si>
  <si>
    <t>PaidBy</t>
  </si>
  <si>
    <t>ReimbStatus</t>
  </si>
  <si>
    <t>IncomeCategory</t>
  </si>
  <si>
    <t>ExpenseCategory</t>
  </si>
  <si>
    <t>FixedCostSubcat</t>
  </si>
  <si>
    <t>CombinedCategory</t>
  </si>
  <si>
    <t>Bank transfer</t>
  </si>
  <si>
    <t>N/A</t>
  </si>
  <si>
    <t>Project payments</t>
  </si>
  <si>
    <t>Pending</t>
  </si>
  <si>
    <t>Retainers</t>
  </si>
  <si>
    <t>Project-specific expenses</t>
  </si>
  <si>
    <t>Cash</t>
  </si>
  <si>
    <t>ReFi BCN entity</t>
  </si>
  <si>
    <t>Reimbursed</t>
  </si>
  <si>
    <t>Grants</t>
  </si>
  <si>
    <t>Events &amp; workshops</t>
  </si>
  <si>
    <t>Crypto</t>
  </si>
  <si>
    <t>Other</t>
  </si>
  <si>
    <t>Consulting/Services</t>
  </si>
  <si>
    <t>Marketing/Comms</t>
  </si>
  <si>
    <t>Cursor Team</t>
  </si>
  <si>
    <t>Other income</t>
  </si>
  <si>
    <t>Professional services</t>
  </si>
  <si>
    <t>Other fixed</t>
  </si>
  <si>
    <t>Infrastructure/Hosting</t>
  </si>
  <si>
    <t>Travel &amp; meetings</t>
  </si>
  <si>
    <t>Office supplies &amp; equipment</t>
  </si>
  <si>
    <t>Other operational costs</t>
  </si>
  <si>
    <t>ReFi BCN — Fixed Costs Reference</t>
  </si>
  <si>
    <t>Enter recurring services here. Monthly/Annual totals auto-calculate.</t>
  </si>
  <si>
    <t>Total Monthly Fixed Costs (EUR)</t>
  </si>
  <si>
    <t>Total Annual Fixed Costs (EUR)</t>
  </si>
  <si>
    <t>Fixed Costs List</t>
  </si>
  <si>
    <t>Service name</t>
  </si>
  <si>
    <t>Provider</t>
  </si>
  <si>
    <t>Cost per period (EUR)</t>
  </si>
  <si>
    <t>Billing frequency</t>
  </si>
  <si>
    <t>Account holder</t>
  </si>
  <si>
    <t>Renewal date</t>
  </si>
  <si>
    <t>Start date</t>
  </si>
  <si>
    <t>Monthly equivalent</t>
  </si>
  <si>
    <t>Annual equivalent</t>
  </si>
  <si>
    <t>10 USD</t>
  </si>
  <si>
    <t>Monthly</t>
  </si>
  <si>
    <t>26th each month</t>
  </si>
  <si>
    <t>Active</t>
  </si>
  <si>
    <t>Monthly until 2025-04-05; switched to annual on 2025-05-15 (96 USD/year). Ongoing, not settled (reimbursement pending).</t>
  </si>
  <si>
    <t>Obsidian Publish (annual)</t>
  </si>
  <si>
    <t>96 USD</t>
  </si>
  <si>
    <t>Annual</t>
  </si>
  <si>
    <t>Annual plan since 2025-05-15. Expected renewal every May 15. Ongoing, not settled.</t>
  </si>
  <si>
    <t>45.68 EUR</t>
  </si>
  <si>
    <t>Known renewals: 6.96 EUR on 23/02/2024; 45.68 EUR on 26/02/2025. Ongoing, not settled (reimbursement pending).</t>
  </si>
  <si>
    <t>13.92 EUR</t>
  </si>
  <si>
    <t>18th each month</t>
  </si>
  <si>
    <t>Monthly since 18/11/2024. Ongoing, not settled (reimbursement pending).</t>
  </si>
  <si>
    <t>ReFi BCN — Project Tracking &amp; Closure</t>
  </si>
  <si>
    <t>Totals auto-sum across 2023–2026 using the Project allocation columns in yearly sheets.</t>
  </si>
  <si>
    <t>Projects</t>
  </si>
  <si>
    <t>Project name</t>
  </si>
  <si>
    <t>End date</t>
  </si>
  <si>
    <t>Total income received</t>
  </si>
  <si>
    <t>Total expenses paid</t>
  </si>
  <si>
    <t>Net profit/loss</t>
  </si>
  <si>
    <t>Outstanding payments (pending/expected)</t>
  </si>
  <si>
    <t>Closure status</t>
  </si>
  <si>
    <t>Invoices sent</t>
  </si>
  <si>
    <t>Payments received</t>
  </si>
  <si>
    <t>Expenses documented</t>
  </si>
  <si>
    <t>Final deliverables done</t>
  </si>
  <si>
    <t>Lessons learned documented</t>
  </si>
  <si>
    <t>Archive noted</t>
  </si>
  <si>
    <t>Closure notes</t>
  </si>
  <si>
    <t>Related documents</t>
  </si>
  <si>
    <t>Accounting scope</t>
  </si>
  <si>
    <t>Cycles Collaboration</t>
  </si>
  <si>
    <t>Suspended</t>
  </si>
  <si>
    <t>Open</t>
  </si>
  <si>
    <t>General</t>
  </si>
  <si>
    <t>Regenerant Catalunya / GG24 — Phase 1</t>
  </si>
  <si>
    <t>Regenerant Catalunya / GG24 — Phase 2</t>
  </si>
  <si>
    <t>Fundació Seira job application</t>
  </si>
  <si>
    <t>Bloc4 incubation (mini-grant)</t>
  </si>
  <si>
    <t>ReFi Unconference BCN 2024</t>
  </si>
  <si>
    <t>Separate</t>
  </si>
  <si>
    <t>BioFi BCN 2025</t>
  </si>
  <si>
    <t>Cycles 2025-2026</t>
  </si>
  <si>
    <t>Regenerant Catalunya 2025-2026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</si>
</sst>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€ #,##0.00"/>
    <numFmt numFmtId="166" formatCode="€#,##0.00"/>
    <numFmt numFmtId="167" formatCode="mmm"/>
    <numFmt numFmtId="168" formatCode="€#,##0.00_);[Red](€#,##0.00);&quot;-&quot;_)"/>
    <numFmt numFmtId="169" formatCode="dd/mm/yyyy"/>
  </numFmts>
  <fonts count="15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6.0"/>
      <color theme="1"/>
      <name val="Calibri"/>
    </font>
    <font>
      <b/>
      <color rgb="FFFFFFFF"/>
      <name val="Calibri"/>
    </font>
    <font>
      <b/>
      <color theme="1"/>
      <name val="Calibri"/>
    </font>
    <font>
      <color theme="1"/>
      <name val="Calibri"/>
    </font>
    <font>
      <b/>
      <sz val="16.0"/>
      <color rgb="FFFFFFFF"/>
      <name val="Calibri"/>
    </font>
    <font>
      <i/>
      <sz val="9.0"/>
      <color rgb="FF666666"/>
      <name val="Calibri"/>
    </font>
    <font>
      <b/>
      <sz val="11.0"/>
      <color rgb="FF000000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sz val="10.0"/>
      <color rgb="FF000000"/>
      <name val="Calibri"/>
    </font>
    <font>
      <sz val="10.0"/>
      <color rgb="FF0000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0F4C5C"/>
        <bgColor rgb="FF0F4C5C"/>
      </patternFill>
    </fill>
    <fill>
      <patternFill patternType="solid">
        <fgColor rgb="FFF2F2F2"/>
        <bgColor rgb="FFF2F2F2"/>
      </patternFill>
    </fill>
    <fill>
      <patternFill patternType="solid">
        <fgColor rgb="FF2F2F2F"/>
        <bgColor rgb="FF2F2F2F"/>
      </patternFill>
    </fill>
    <fill>
      <patternFill patternType="solid">
        <fgColor rgb="FF4F4F4F"/>
        <bgColor rgb="FF4F4F4F"/>
      </patternFill>
    </fill>
    <fill>
      <patternFill patternType="solid">
        <fgColor rgb="FFFFF2CC"/>
        <bgColor rgb="FFFFF2CC"/>
      </patternFill>
    </fill>
  </fills>
  <borders count="4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164" xfId="0" applyFont="1" applyNumberFormat="1"/>
    <xf borderId="0" fillId="0" fontId="3" numFmtId="0" xfId="0" applyFont="1"/>
    <xf borderId="0" fillId="0" fontId="2" numFmtId="2" xfId="0" applyFont="1" applyNumberFormat="1"/>
    <xf borderId="0" fillId="0" fontId="2" numFmtId="2" xfId="0" applyAlignment="1" applyFont="1" applyNumberFormat="1">
      <alignment readingOrder="0"/>
    </xf>
    <xf borderId="0" fillId="0" fontId="2" numFmtId="165" xfId="0" applyFont="1" applyNumberFormat="1"/>
    <xf borderId="0" fillId="0" fontId="4" numFmtId="0" xfId="0" applyAlignment="1" applyFont="1">
      <alignment horizontal="left" vertical="center"/>
    </xf>
    <xf borderId="0" fillId="0" fontId="2" numFmtId="0" xfId="0" applyFont="1"/>
    <xf borderId="2" fillId="3" fontId="5" numFmtId="0" xfId="0" applyAlignment="1" applyBorder="1" applyFill="1" applyFont="1">
      <alignment horizontal="center"/>
    </xf>
    <xf borderId="0" fillId="0" fontId="2" numFmtId="17" xfId="0" applyFont="1" applyNumberFormat="1"/>
    <xf borderId="2" fillId="2" fontId="6" numFmtId="0" xfId="0" applyAlignment="1" applyBorder="1" applyFont="1">
      <alignment horizontal="left"/>
    </xf>
    <xf borderId="2" fillId="2" fontId="6" numFmtId="0" xfId="0" applyBorder="1" applyFont="1"/>
    <xf borderId="2" fillId="2" fontId="6" numFmtId="166" xfId="0" applyAlignment="1" applyBorder="1" applyFont="1" applyNumberFormat="1">
      <alignment horizontal="right"/>
    </xf>
    <xf borderId="2" fillId="0" fontId="7" numFmtId="0" xfId="0" applyAlignment="1" applyBorder="1" applyFont="1">
      <alignment horizontal="left"/>
    </xf>
    <xf borderId="2" fillId="0" fontId="2" numFmtId="166" xfId="0" applyAlignment="1" applyBorder="1" applyFont="1" applyNumberFormat="1">
      <alignment horizontal="right"/>
    </xf>
    <xf borderId="2" fillId="0" fontId="7" numFmtId="166" xfId="0" applyAlignment="1" applyBorder="1" applyFont="1" applyNumberFormat="1">
      <alignment horizontal="right"/>
    </xf>
    <xf borderId="2" fillId="0" fontId="6" numFmtId="0" xfId="0" applyAlignment="1" applyBorder="1" applyFont="1">
      <alignment horizontal="left"/>
    </xf>
    <xf borderId="2" fillId="0" fontId="6" numFmtId="166" xfId="0" applyAlignment="1" applyBorder="1" applyFont="1" applyNumberFormat="1">
      <alignment horizontal="right"/>
    </xf>
    <xf borderId="0" fillId="0" fontId="2" numFmtId="167" xfId="0" applyFont="1" applyNumberFormat="1"/>
    <xf borderId="2" fillId="2" fontId="6" numFmtId="0" xfId="0" applyAlignment="1" applyBorder="1" applyFont="1">
      <alignment horizontal="right"/>
    </xf>
    <xf borderId="0" fillId="0" fontId="7" numFmtId="0" xfId="0" applyFont="1"/>
    <xf borderId="1" fillId="4" fontId="8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left"/>
    </xf>
    <xf borderId="3" fillId="5" fontId="10" numFmtId="0" xfId="0" applyBorder="1" applyFill="1" applyFont="1"/>
    <xf borderId="3" fillId="0" fontId="2" numFmtId="168" xfId="0" applyAlignment="1" applyBorder="1" applyFont="1" applyNumberFormat="1">
      <alignment horizontal="right" vertical="center"/>
    </xf>
    <xf borderId="1" fillId="6" fontId="11" numFmtId="0" xfId="0" applyAlignment="1" applyBorder="1" applyFill="1" applyFont="1">
      <alignment horizontal="left" vertical="center"/>
    </xf>
    <xf borderId="3" fillId="7" fontId="12" numFmtId="0" xfId="0" applyAlignment="1" applyBorder="1" applyFill="1" applyFont="1">
      <alignment horizontal="center" shrinkToFit="0" vertical="center" wrapText="1"/>
    </xf>
    <xf borderId="3" fillId="0" fontId="13" numFmtId="0" xfId="0" applyAlignment="1" applyBorder="1" applyFont="1">
      <alignment horizontal="left" vertical="center"/>
    </xf>
    <xf borderId="3" fillId="8" fontId="14" numFmtId="168" xfId="0" applyAlignment="1" applyBorder="1" applyFill="1" applyFont="1" applyNumberFormat="1">
      <alignment horizontal="right" vertical="center"/>
    </xf>
    <xf borderId="3" fillId="8" fontId="14" numFmtId="0" xfId="0" applyAlignment="1" applyBorder="1" applyFont="1">
      <alignment horizontal="left" vertical="center"/>
    </xf>
    <xf borderId="3" fillId="8" fontId="14" numFmtId="169" xfId="0" applyAlignment="1" applyBorder="1" applyFont="1" applyNumberFormat="1">
      <alignment horizontal="left" vertical="center"/>
    </xf>
    <xf borderId="3" fillId="8" fontId="14" numFmtId="164" xfId="0" applyAlignment="1" applyBorder="1" applyFont="1" applyNumberFormat="1">
      <alignment horizontal="left" vertical="center"/>
    </xf>
    <xf borderId="3" fillId="0" fontId="2" numFmtId="0" xfId="0" applyAlignment="1" applyBorder="1" applyFont="1">
      <alignment horizontal="left" vertical="center"/>
    </xf>
    <xf borderId="3" fillId="0" fontId="2" numFmtId="165" xfId="0" applyAlignment="1" applyBorder="1" applyFont="1" applyNumberFormat="1">
      <alignment horizontal="right" vertical="center"/>
    </xf>
    <xf borderId="3" fillId="0" fontId="2" numFmtId="165" xfId="0" applyAlignment="1" applyBorder="1" applyFont="1" applyNumberFormat="1">
      <alignment horizontal="left" vertical="center"/>
    </xf>
    <xf borderId="3" fillId="0" fontId="2" numFmtId="4" xfId="0" applyAlignment="1" applyBorder="1" applyFont="1" applyNumberFormat="1">
      <alignment horizontal="left" vertical="center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4" width="18.0"/>
    <col customWidth="1" min="5" max="5" width="26.0"/>
    <col customWidth="1" min="6" max="6" width="18.0"/>
    <col customWidth="1" min="7" max="7" width="34.0"/>
    <col customWidth="1" min="8" max="8" width="14.0"/>
    <col customWidth="1" min="9" max="9" width="10.0"/>
    <col customWidth="1" min="10" max="12" width="14.0"/>
    <col customWidth="1" min="13" max="13" width="12.0"/>
    <col customWidth="1" min="14" max="14" width="14.0"/>
    <col customWidth="1" min="15" max="16" width="18.0"/>
    <col customWidth="1" min="17" max="17" width="12.0"/>
    <col customWidth="1" min="18" max="18" width="28.0"/>
    <col customWidth="1" min="19" max="19" width="10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45683.0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4">
        <v>10.0</v>
      </c>
      <c r="I2" s="3" t="s">
        <v>25</v>
      </c>
      <c r="J2" s="5" t="str">
        <f>IFERROR(__xludf.DUMMYFUNCTION("GOOGLEFINANCE(""CURRENCY:USDEUR"",,A2,A2)"),"#N/A")</f>
        <v>#N/A</v>
      </c>
      <c r="K2" s="6" t="str">
        <f t="shared" ref="K2:K6" si="1">IFERROR(H2*J2,"")</f>
        <v/>
      </c>
      <c r="L2" s="3" t="s">
        <v>26</v>
      </c>
      <c r="M2" s="3" t="s">
        <v>27</v>
      </c>
      <c r="N2" s="3" t="s">
        <v>28</v>
      </c>
      <c r="O2" s="3" t="s">
        <v>29</v>
      </c>
      <c r="R2" s="3" t="s">
        <v>30</v>
      </c>
      <c r="S2" s="3" t="s">
        <v>31</v>
      </c>
    </row>
    <row r="3">
      <c r="A3" s="2">
        <v>45714.0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>
        <v>10.0</v>
      </c>
      <c r="I3" s="3" t="s">
        <v>25</v>
      </c>
      <c r="J3" s="4" t="str">
        <f>IFERROR(__xludf.DUMMYFUNCTION("GOOGLEFINANCE(""CURRENCY:USDEUR"",A3)"),"#N/A")</f>
        <v>#N/A</v>
      </c>
      <c r="K3" s="6" t="str">
        <f t="shared" si="1"/>
        <v/>
      </c>
      <c r="L3" s="3" t="s">
        <v>26</v>
      </c>
      <c r="M3" s="3" t="s">
        <v>27</v>
      </c>
      <c r="N3" s="3" t="s">
        <v>28</v>
      </c>
      <c r="O3" s="3" t="s">
        <v>29</v>
      </c>
      <c r="R3" s="3" t="s">
        <v>30</v>
      </c>
      <c r="S3" s="3" t="s">
        <v>31</v>
      </c>
    </row>
    <row r="4">
      <c r="A4" s="2">
        <v>45742.0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4">
        <v>10.0</v>
      </c>
      <c r="I4" s="3" t="s">
        <v>25</v>
      </c>
      <c r="J4" s="4" t="str">
        <f>IFERROR(__xludf.DUMMYFUNCTION("IFERROR(INDEX(GOOGLEFINANCE(""CURRENCY:USDEUR"",A4),2,2),"""")"),"")</f>
        <v/>
      </c>
      <c r="K4" s="6">
        <f t="shared" si="1"/>
        <v>0</v>
      </c>
      <c r="L4" s="3" t="s">
        <v>26</v>
      </c>
      <c r="M4" s="3" t="s">
        <v>27</v>
      </c>
      <c r="N4" s="3" t="s">
        <v>28</v>
      </c>
      <c r="O4" s="3" t="s">
        <v>29</v>
      </c>
      <c r="R4" s="3" t="s">
        <v>30</v>
      </c>
      <c r="S4" s="3" t="s">
        <v>31</v>
      </c>
    </row>
    <row r="5">
      <c r="A5" s="2">
        <v>45752.0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32</v>
      </c>
      <c r="H5" s="4">
        <v>10.0</v>
      </c>
      <c r="I5" s="3" t="s">
        <v>25</v>
      </c>
      <c r="J5" s="4" t="str">
        <f>IFERROR(__xludf.DUMMYFUNCTION("IFERROR(INDEX(GOOGLEFINANCE(""CURRENCY:USDEUR"",A5),2,2),"""")"),"")</f>
        <v/>
      </c>
      <c r="K5" s="6">
        <f t="shared" si="1"/>
        <v>0</v>
      </c>
      <c r="L5" s="3" t="s">
        <v>26</v>
      </c>
      <c r="M5" s="3" t="s">
        <v>27</v>
      </c>
      <c r="N5" s="3" t="s">
        <v>28</v>
      </c>
      <c r="O5" s="3" t="s">
        <v>29</v>
      </c>
      <c r="R5" s="3" t="s">
        <v>33</v>
      </c>
      <c r="S5" s="3" t="s">
        <v>31</v>
      </c>
    </row>
    <row r="6">
      <c r="A6" s="2">
        <v>45792.0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34</v>
      </c>
      <c r="H6" s="4">
        <v>96.0</v>
      </c>
      <c r="I6" s="3" t="s">
        <v>25</v>
      </c>
      <c r="J6" s="4" t="str">
        <f>IFERROR(__xludf.DUMMYFUNCTION("IFERROR(INDEX(GOOGLEFINANCE(""CURRENCY:USDEUR"",A6),2,2),"""")"),"")</f>
        <v/>
      </c>
      <c r="K6" s="6">
        <f t="shared" si="1"/>
        <v>0</v>
      </c>
      <c r="L6" s="3" t="s">
        <v>26</v>
      </c>
      <c r="M6" s="3" t="s">
        <v>27</v>
      </c>
      <c r="N6" s="3" t="s">
        <v>28</v>
      </c>
      <c r="O6" s="3" t="s">
        <v>29</v>
      </c>
      <c r="R6" s="3" t="s">
        <v>35</v>
      </c>
      <c r="S6" s="3" t="s">
        <v>31</v>
      </c>
    </row>
    <row r="7">
      <c r="A7" s="2">
        <v>45714.0</v>
      </c>
      <c r="B7" s="3" t="s">
        <v>19</v>
      </c>
      <c r="C7" s="3" t="s">
        <v>20</v>
      </c>
      <c r="D7" s="3" t="s">
        <v>36</v>
      </c>
      <c r="E7" s="3" t="s">
        <v>22</v>
      </c>
      <c r="F7" s="3" t="s">
        <v>37</v>
      </c>
      <c r="G7" s="3" t="s">
        <v>38</v>
      </c>
      <c r="H7" s="4">
        <v>45.68</v>
      </c>
      <c r="I7" s="3" t="s">
        <v>39</v>
      </c>
      <c r="J7" s="4">
        <v>1.0</v>
      </c>
      <c r="K7" s="6">
        <v>45.68</v>
      </c>
      <c r="L7" s="3" t="s">
        <v>26</v>
      </c>
      <c r="M7" s="3" t="s">
        <v>27</v>
      </c>
      <c r="N7" s="3" t="s">
        <v>28</v>
      </c>
      <c r="O7" s="3" t="s">
        <v>29</v>
      </c>
      <c r="R7" s="3" t="s">
        <v>40</v>
      </c>
      <c r="S7" s="3" t="s">
        <v>31</v>
      </c>
    </row>
    <row r="8">
      <c r="A8" s="2">
        <v>45675.0</v>
      </c>
      <c r="B8" s="3" t="s">
        <v>19</v>
      </c>
      <c r="C8" s="3" t="s">
        <v>20</v>
      </c>
      <c r="D8" s="3" t="s">
        <v>41</v>
      </c>
      <c r="E8" s="3" t="s">
        <v>22</v>
      </c>
      <c r="F8" s="3" t="s">
        <v>41</v>
      </c>
      <c r="G8" s="3" t="s">
        <v>42</v>
      </c>
      <c r="H8" s="4">
        <v>13.92</v>
      </c>
      <c r="I8" s="3" t="s">
        <v>39</v>
      </c>
      <c r="J8" s="4">
        <v>1.0</v>
      </c>
      <c r="K8" s="6">
        <v>13.92</v>
      </c>
      <c r="L8" s="3" t="s">
        <v>26</v>
      </c>
      <c r="M8" s="3" t="s">
        <v>27</v>
      </c>
      <c r="N8" s="3" t="s">
        <v>28</v>
      </c>
      <c r="O8" s="3" t="s">
        <v>29</v>
      </c>
      <c r="R8" s="3" t="s">
        <v>40</v>
      </c>
      <c r="S8" s="3" t="s">
        <v>31</v>
      </c>
    </row>
    <row r="9">
      <c r="A9" s="2">
        <v>45706.0</v>
      </c>
      <c r="B9" s="3" t="s">
        <v>19</v>
      </c>
      <c r="C9" s="3" t="s">
        <v>20</v>
      </c>
      <c r="D9" s="3" t="s">
        <v>41</v>
      </c>
      <c r="E9" s="3" t="s">
        <v>22</v>
      </c>
      <c r="F9" s="3" t="s">
        <v>41</v>
      </c>
      <c r="G9" s="3" t="s">
        <v>42</v>
      </c>
      <c r="H9" s="4">
        <v>13.92</v>
      </c>
      <c r="I9" s="3" t="s">
        <v>39</v>
      </c>
      <c r="J9" s="4">
        <v>1.0</v>
      </c>
      <c r="K9" s="6">
        <v>13.92</v>
      </c>
      <c r="L9" s="3" t="s">
        <v>26</v>
      </c>
      <c r="M9" s="3" t="s">
        <v>27</v>
      </c>
      <c r="N9" s="3" t="s">
        <v>28</v>
      </c>
      <c r="O9" s="3" t="s">
        <v>29</v>
      </c>
      <c r="R9" s="3" t="s">
        <v>40</v>
      </c>
      <c r="S9" s="3" t="s">
        <v>31</v>
      </c>
    </row>
    <row r="10">
      <c r="A10" s="2">
        <v>45734.0</v>
      </c>
      <c r="B10" s="3" t="s">
        <v>19</v>
      </c>
      <c r="C10" s="3" t="s">
        <v>20</v>
      </c>
      <c r="D10" s="3" t="s">
        <v>41</v>
      </c>
      <c r="E10" s="3" t="s">
        <v>22</v>
      </c>
      <c r="F10" s="3" t="s">
        <v>41</v>
      </c>
      <c r="G10" s="3" t="s">
        <v>42</v>
      </c>
      <c r="H10" s="4">
        <v>13.92</v>
      </c>
      <c r="I10" s="3" t="s">
        <v>39</v>
      </c>
      <c r="J10" s="4">
        <v>1.0</v>
      </c>
      <c r="K10" s="6">
        <v>13.92</v>
      </c>
      <c r="L10" s="3" t="s">
        <v>26</v>
      </c>
      <c r="M10" s="3" t="s">
        <v>27</v>
      </c>
      <c r="N10" s="3" t="s">
        <v>28</v>
      </c>
      <c r="O10" s="3" t="s">
        <v>29</v>
      </c>
      <c r="R10" s="3" t="s">
        <v>40</v>
      </c>
      <c r="S10" s="3" t="s">
        <v>31</v>
      </c>
    </row>
    <row r="11">
      <c r="A11" s="2">
        <v>45765.0</v>
      </c>
      <c r="B11" s="3" t="s">
        <v>19</v>
      </c>
      <c r="C11" s="3" t="s">
        <v>20</v>
      </c>
      <c r="D11" s="3" t="s">
        <v>41</v>
      </c>
      <c r="E11" s="3" t="s">
        <v>22</v>
      </c>
      <c r="F11" s="3" t="s">
        <v>41</v>
      </c>
      <c r="G11" s="3" t="s">
        <v>42</v>
      </c>
      <c r="H11" s="4">
        <v>13.92</v>
      </c>
      <c r="I11" s="3" t="s">
        <v>39</v>
      </c>
      <c r="J11" s="4">
        <v>1.0</v>
      </c>
      <c r="K11" s="6">
        <v>13.92</v>
      </c>
      <c r="L11" s="3" t="s">
        <v>26</v>
      </c>
      <c r="M11" s="3" t="s">
        <v>27</v>
      </c>
      <c r="N11" s="3" t="s">
        <v>28</v>
      </c>
      <c r="O11" s="3" t="s">
        <v>29</v>
      </c>
      <c r="R11" s="3" t="s">
        <v>40</v>
      </c>
      <c r="S11" s="3" t="s">
        <v>31</v>
      </c>
    </row>
    <row r="12">
      <c r="A12" s="2">
        <v>45795.0</v>
      </c>
      <c r="B12" s="3" t="s">
        <v>19</v>
      </c>
      <c r="C12" s="3" t="s">
        <v>20</v>
      </c>
      <c r="D12" s="3" t="s">
        <v>41</v>
      </c>
      <c r="E12" s="3" t="s">
        <v>22</v>
      </c>
      <c r="F12" s="3" t="s">
        <v>41</v>
      </c>
      <c r="G12" s="3" t="s">
        <v>42</v>
      </c>
      <c r="H12" s="4">
        <v>13.92</v>
      </c>
      <c r="I12" s="3" t="s">
        <v>39</v>
      </c>
      <c r="J12" s="4">
        <v>1.0</v>
      </c>
      <c r="K12" s="6">
        <v>13.92</v>
      </c>
      <c r="L12" s="3" t="s">
        <v>26</v>
      </c>
      <c r="M12" s="3" t="s">
        <v>27</v>
      </c>
      <c r="N12" s="3" t="s">
        <v>28</v>
      </c>
      <c r="O12" s="3" t="s">
        <v>29</v>
      </c>
      <c r="R12" s="3" t="s">
        <v>40</v>
      </c>
      <c r="S12" s="3" t="s">
        <v>31</v>
      </c>
    </row>
    <row r="13">
      <c r="A13" s="2">
        <v>45826.0</v>
      </c>
      <c r="B13" s="3" t="s">
        <v>19</v>
      </c>
      <c r="C13" s="3" t="s">
        <v>20</v>
      </c>
      <c r="D13" s="3" t="s">
        <v>41</v>
      </c>
      <c r="E13" s="3" t="s">
        <v>22</v>
      </c>
      <c r="F13" s="3" t="s">
        <v>41</v>
      </c>
      <c r="G13" s="3" t="s">
        <v>42</v>
      </c>
      <c r="H13" s="4">
        <v>13.92</v>
      </c>
      <c r="I13" s="3" t="s">
        <v>39</v>
      </c>
      <c r="J13" s="4">
        <v>1.0</v>
      </c>
      <c r="K13" s="6">
        <v>13.92</v>
      </c>
      <c r="L13" s="3" t="s">
        <v>26</v>
      </c>
      <c r="M13" s="3" t="s">
        <v>27</v>
      </c>
      <c r="N13" s="3" t="s">
        <v>28</v>
      </c>
      <c r="O13" s="3" t="s">
        <v>29</v>
      </c>
      <c r="R13" s="3" t="s">
        <v>40</v>
      </c>
      <c r="S13" s="3" t="s">
        <v>31</v>
      </c>
    </row>
    <row r="14">
      <c r="A14" s="2">
        <v>45856.0</v>
      </c>
      <c r="B14" s="3" t="s">
        <v>19</v>
      </c>
      <c r="C14" s="3" t="s">
        <v>20</v>
      </c>
      <c r="D14" s="3" t="s">
        <v>41</v>
      </c>
      <c r="E14" s="3" t="s">
        <v>22</v>
      </c>
      <c r="F14" s="3" t="s">
        <v>41</v>
      </c>
      <c r="G14" s="3" t="s">
        <v>42</v>
      </c>
      <c r="H14" s="4">
        <v>13.92</v>
      </c>
      <c r="I14" s="3" t="s">
        <v>39</v>
      </c>
      <c r="J14" s="4">
        <v>1.0</v>
      </c>
      <c r="K14" s="6">
        <v>13.92</v>
      </c>
      <c r="L14" s="3" t="s">
        <v>26</v>
      </c>
      <c r="M14" s="3" t="s">
        <v>27</v>
      </c>
      <c r="N14" s="3" t="s">
        <v>28</v>
      </c>
      <c r="O14" s="3" t="s">
        <v>29</v>
      </c>
      <c r="R14" s="3" t="s">
        <v>40</v>
      </c>
      <c r="S14" s="3" t="s">
        <v>31</v>
      </c>
    </row>
    <row r="15">
      <c r="A15" s="2">
        <v>45887.0</v>
      </c>
      <c r="B15" s="3" t="s">
        <v>19</v>
      </c>
      <c r="C15" s="3" t="s">
        <v>20</v>
      </c>
      <c r="D15" s="3" t="s">
        <v>41</v>
      </c>
      <c r="E15" s="3" t="s">
        <v>22</v>
      </c>
      <c r="F15" s="3" t="s">
        <v>41</v>
      </c>
      <c r="G15" s="3" t="s">
        <v>42</v>
      </c>
      <c r="H15" s="4">
        <v>13.92</v>
      </c>
      <c r="I15" s="3" t="s">
        <v>39</v>
      </c>
      <c r="J15" s="4">
        <v>1.0</v>
      </c>
      <c r="K15" s="6">
        <v>13.92</v>
      </c>
      <c r="L15" s="3" t="s">
        <v>26</v>
      </c>
      <c r="M15" s="3" t="s">
        <v>27</v>
      </c>
      <c r="N15" s="3" t="s">
        <v>28</v>
      </c>
      <c r="O15" s="3" t="s">
        <v>29</v>
      </c>
      <c r="R15" s="3" t="s">
        <v>40</v>
      </c>
      <c r="S15" s="3" t="s">
        <v>31</v>
      </c>
    </row>
    <row r="16">
      <c r="A16" s="2">
        <v>45918.0</v>
      </c>
      <c r="B16" s="3" t="s">
        <v>19</v>
      </c>
      <c r="C16" s="3" t="s">
        <v>20</v>
      </c>
      <c r="D16" s="3" t="s">
        <v>41</v>
      </c>
      <c r="E16" s="3" t="s">
        <v>22</v>
      </c>
      <c r="F16" s="3" t="s">
        <v>41</v>
      </c>
      <c r="G16" s="3" t="s">
        <v>42</v>
      </c>
      <c r="H16" s="4">
        <v>13.92</v>
      </c>
      <c r="I16" s="3" t="s">
        <v>39</v>
      </c>
      <c r="J16" s="4">
        <v>1.0</v>
      </c>
      <c r="K16" s="6">
        <v>13.92</v>
      </c>
      <c r="L16" s="3" t="s">
        <v>26</v>
      </c>
      <c r="M16" s="3" t="s">
        <v>27</v>
      </c>
      <c r="N16" s="3" t="s">
        <v>28</v>
      </c>
      <c r="O16" s="3" t="s">
        <v>29</v>
      </c>
      <c r="R16" s="3" t="s">
        <v>40</v>
      </c>
      <c r="S16" s="3" t="s">
        <v>31</v>
      </c>
    </row>
    <row r="17">
      <c r="A17" s="2">
        <v>45948.0</v>
      </c>
      <c r="B17" s="3" t="s">
        <v>19</v>
      </c>
      <c r="C17" s="3" t="s">
        <v>20</v>
      </c>
      <c r="D17" s="3" t="s">
        <v>41</v>
      </c>
      <c r="E17" s="3" t="s">
        <v>22</v>
      </c>
      <c r="F17" s="3" t="s">
        <v>41</v>
      </c>
      <c r="G17" s="3" t="s">
        <v>42</v>
      </c>
      <c r="H17" s="4">
        <v>13.92</v>
      </c>
      <c r="I17" s="3" t="s">
        <v>39</v>
      </c>
      <c r="J17" s="4">
        <v>1.0</v>
      </c>
      <c r="K17" s="6">
        <v>13.92</v>
      </c>
      <c r="L17" s="3" t="s">
        <v>26</v>
      </c>
      <c r="M17" s="3" t="s">
        <v>27</v>
      </c>
      <c r="N17" s="3" t="s">
        <v>28</v>
      </c>
      <c r="O17" s="3" t="s">
        <v>29</v>
      </c>
      <c r="R17" s="3" t="s">
        <v>40</v>
      </c>
      <c r="S17" s="3" t="s">
        <v>31</v>
      </c>
    </row>
    <row r="18">
      <c r="A18" s="2">
        <v>45979.0</v>
      </c>
      <c r="B18" s="3" t="s">
        <v>19</v>
      </c>
      <c r="C18" s="3" t="s">
        <v>20</v>
      </c>
      <c r="D18" s="3" t="s">
        <v>41</v>
      </c>
      <c r="E18" s="3" t="s">
        <v>22</v>
      </c>
      <c r="F18" s="3" t="s">
        <v>41</v>
      </c>
      <c r="G18" s="3" t="s">
        <v>42</v>
      </c>
      <c r="H18" s="4">
        <v>13.92</v>
      </c>
      <c r="I18" s="3" t="s">
        <v>39</v>
      </c>
      <c r="J18" s="4">
        <v>1.0</v>
      </c>
      <c r="K18" s="6">
        <v>13.92</v>
      </c>
      <c r="L18" s="3" t="s">
        <v>26</v>
      </c>
      <c r="M18" s="3" t="s">
        <v>27</v>
      </c>
      <c r="N18" s="3" t="s">
        <v>28</v>
      </c>
      <c r="O18" s="3" t="s">
        <v>29</v>
      </c>
      <c r="R18" s="3" t="s">
        <v>40</v>
      </c>
      <c r="S18" s="3" t="s">
        <v>31</v>
      </c>
    </row>
    <row r="19">
      <c r="A19" s="2">
        <v>46009.0</v>
      </c>
      <c r="B19" s="3" t="s">
        <v>19</v>
      </c>
      <c r="C19" s="3" t="s">
        <v>20</v>
      </c>
      <c r="D19" s="3" t="s">
        <v>41</v>
      </c>
      <c r="E19" s="3" t="s">
        <v>22</v>
      </c>
      <c r="F19" s="3" t="s">
        <v>41</v>
      </c>
      <c r="G19" s="3" t="s">
        <v>42</v>
      </c>
      <c r="H19" s="4">
        <v>13.92</v>
      </c>
      <c r="I19" s="3" t="s">
        <v>39</v>
      </c>
      <c r="J19" s="4">
        <v>1.0</v>
      </c>
      <c r="K19" s="6">
        <v>13.92</v>
      </c>
      <c r="L19" s="3" t="s">
        <v>26</v>
      </c>
      <c r="M19" s="3" t="s">
        <v>27</v>
      </c>
      <c r="N19" s="3" t="s">
        <v>28</v>
      </c>
      <c r="O19" s="3" t="s">
        <v>29</v>
      </c>
      <c r="R19" s="3" t="s">
        <v>40</v>
      </c>
      <c r="S19" s="3" t="s">
        <v>31</v>
      </c>
    </row>
    <row r="20">
      <c r="A20" s="2">
        <v>46157.0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43</v>
      </c>
      <c r="H20" s="4">
        <v>96.0</v>
      </c>
      <c r="I20" s="3" t="s">
        <v>25</v>
      </c>
      <c r="J20" s="4" t="str">
        <f>IFERROR(__xludf.DUMMYFUNCTION("IFERROR(INDEX(GOOGLEFINANCE(""CURRENCY:USDEUR"",A20),2,2),"""")"),"")</f>
        <v/>
      </c>
      <c r="K20" s="6">
        <f>IFERROR(H20*J20,"")</f>
        <v>0</v>
      </c>
      <c r="L20" s="3" t="s">
        <v>26</v>
      </c>
      <c r="M20" s="3" t="s">
        <v>44</v>
      </c>
      <c r="N20" s="3" t="s">
        <v>28</v>
      </c>
      <c r="O20" s="3" t="s">
        <v>29</v>
      </c>
      <c r="R20" s="3" t="s">
        <v>45</v>
      </c>
      <c r="S20" s="3" t="s">
        <v>46</v>
      </c>
    </row>
    <row r="21" ht="15.75" customHeight="1">
      <c r="A21" s="2">
        <v>46040.0</v>
      </c>
      <c r="B21" s="3" t="s">
        <v>19</v>
      </c>
      <c r="C21" s="3" t="s">
        <v>20</v>
      </c>
      <c r="D21" s="3" t="s">
        <v>41</v>
      </c>
      <c r="E21" s="3" t="s">
        <v>22</v>
      </c>
      <c r="F21" s="3" t="s">
        <v>41</v>
      </c>
      <c r="G21" s="3" t="s">
        <v>42</v>
      </c>
      <c r="H21" s="4">
        <v>13.92</v>
      </c>
      <c r="I21" s="3" t="s">
        <v>39</v>
      </c>
      <c r="J21" s="4">
        <v>1.0</v>
      </c>
      <c r="K21" s="6">
        <v>13.92</v>
      </c>
      <c r="L21" s="3" t="s">
        <v>26</v>
      </c>
      <c r="M21" s="3" t="s">
        <v>27</v>
      </c>
      <c r="N21" s="3" t="s">
        <v>28</v>
      </c>
      <c r="O21" s="3" t="s">
        <v>29</v>
      </c>
      <c r="R21" s="3" t="s">
        <v>40</v>
      </c>
      <c r="S21" s="3" t="s">
        <v>31</v>
      </c>
    </row>
    <row r="22" ht="15.75" customHeight="1">
      <c r="A22" s="2">
        <v>46071.0</v>
      </c>
      <c r="B22" s="3" t="s">
        <v>19</v>
      </c>
      <c r="C22" s="3" t="s">
        <v>20</v>
      </c>
      <c r="D22" s="3" t="s">
        <v>41</v>
      </c>
      <c r="E22" s="3" t="s">
        <v>22</v>
      </c>
      <c r="F22" s="3" t="s">
        <v>41</v>
      </c>
      <c r="G22" s="3" t="s">
        <v>42</v>
      </c>
      <c r="H22" s="4">
        <v>13.92</v>
      </c>
      <c r="I22" s="3" t="s">
        <v>39</v>
      </c>
      <c r="J22" s="4">
        <v>1.0</v>
      </c>
      <c r="K22" s="6">
        <v>13.92</v>
      </c>
      <c r="L22" s="3" t="s">
        <v>26</v>
      </c>
      <c r="M22" s="3" t="s">
        <v>44</v>
      </c>
      <c r="N22" s="3" t="s">
        <v>28</v>
      </c>
      <c r="O22" s="3" t="s">
        <v>29</v>
      </c>
      <c r="R22" s="3" t="s">
        <v>40</v>
      </c>
      <c r="S22" s="3" t="s">
        <v>46</v>
      </c>
    </row>
    <row r="23" ht="15.75" customHeight="1">
      <c r="A23" s="2">
        <v>46099.0</v>
      </c>
      <c r="B23" s="3" t="s">
        <v>19</v>
      </c>
      <c r="C23" s="3" t="s">
        <v>20</v>
      </c>
      <c r="D23" s="3" t="s">
        <v>41</v>
      </c>
      <c r="E23" s="3" t="s">
        <v>22</v>
      </c>
      <c r="F23" s="3" t="s">
        <v>41</v>
      </c>
      <c r="G23" s="3" t="s">
        <v>42</v>
      </c>
      <c r="H23" s="4">
        <v>13.92</v>
      </c>
      <c r="I23" s="3" t="s">
        <v>39</v>
      </c>
      <c r="J23" s="4">
        <v>1.0</v>
      </c>
      <c r="K23" s="6">
        <v>13.92</v>
      </c>
      <c r="L23" s="3" t="s">
        <v>26</v>
      </c>
      <c r="M23" s="3" t="s">
        <v>44</v>
      </c>
      <c r="N23" s="3" t="s">
        <v>28</v>
      </c>
      <c r="O23" s="3" t="s">
        <v>29</v>
      </c>
      <c r="R23" s="3" t="s">
        <v>40</v>
      </c>
      <c r="S23" s="3" t="s">
        <v>46</v>
      </c>
    </row>
    <row r="24" ht="15.75" customHeight="1">
      <c r="A24" s="2">
        <v>46130.0</v>
      </c>
      <c r="B24" s="3" t="s">
        <v>19</v>
      </c>
      <c r="C24" s="3" t="s">
        <v>20</v>
      </c>
      <c r="D24" s="3" t="s">
        <v>41</v>
      </c>
      <c r="E24" s="3" t="s">
        <v>22</v>
      </c>
      <c r="F24" s="3" t="s">
        <v>41</v>
      </c>
      <c r="G24" s="3" t="s">
        <v>42</v>
      </c>
      <c r="H24" s="4">
        <v>13.92</v>
      </c>
      <c r="I24" s="3" t="s">
        <v>39</v>
      </c>
      <c r="J24" s="4">
        <v>1.0</v>
      </c>
      <c r="K24" s="6">
        <v>13.92</v>
      </c>
      <c r="L24" s="3" t="s">
        <v>26</v>
      </c>
      <c r="M24" s="3" t="s">
        <v>44</v>
      </c>
      <c r="N24" s="3" t="s">
        <v>28</v>
      </c>
      <c r="O24" s="3" t="s">
        <v>29</v>
      </c>
      <c r="R24" s="3" t="s">
        <v>40</v>
      </c>
      <c r="S24" s="3" t="s">
        <v>46</v>
      </c>
    </row>
    <row r="25" ht="15.75" customHeight="1">
      <c r="A25" s="2">
        <v>46160.0</v>
      </c>
      <c r="B25" s="3" t="s">
        <v>19</v>
      </c>
      <c r="C25" s="3" t="s">
        <v>20</v>
      </c>
      <c r="D25" s="3" t="s">
        <v>41</v>
      </c>
      <c r="E25" s="3" t="s">
        <v>22</v>
      </c>
      <c r="F25" s="3" t="s">
        <v>41</v>
      </c>
      <c r="G25" s="3" t="s">
        <v>42</v>
      </c>
      <c r="H25" s="4">
        <v>13.92</v>
      </c>
      <c r="I25" s="3" t="s">
        <v>39</v>
      </c>
      <c r="J25" s="4">
        <v>1.0</v>
      </c>
      <c r="K25" s="6">
        <v>13.92</v>
      </c>
      <c r="L25" s="3" t="s">
        <v>26</v>
      </c>
      <c r="M25" s="3" t="s">
        <v>44</v>
      </c>
      <c r="N25" s="3" t="s">
        <v>28</v>
      </c>
      <c r="O25" s="3" t="s">
        <v>29</v>
      </c>
      <c r="R25" s="3" t="s">
        <v>40</v>
      </c>
      <c r="S25" s="3" t="s">
        <v>46</v>
      </c>
    </row>
    <row r="26" ht="15.75" customHeight="1">
      <c r="A26" s="2">
        <v>46191.0</v>
      </c>
      <c r="B26" s="3" t="s">
        <v>19</v>
      </c>
      <c r="C26" s="3" t="s">
        <v>20</v>
      </c>
      <c r="D26" s="3" t="s">
        <v>41</v>
      </c>
      <c r="E26" s="3" t="s">
        <v>22</v>
      </c>
      <c r="F26" s="3" t="s">
        <v>41</v>
      </c>
      <c r="G26" s="3" t="s">
        <v>42</v>
      </c>
      <c r="H26" s="4">
        <v>13.92</v>
      </c>
      <c r="I26" s="3" t="s">
        <v>39</v>
      </c>
      <c r="J26" s="4">
        <v>1.0</v>
      </c>
      <c r="K26" s="6">
        <v>13.92</v>
      </c>
      <c r="L26" s="3" t="s">
        <v>26</v>
      </c>
      <c r="M26" s="3" t="s">
        <v>44</v>
      </c>
      <c r="N26" s="3" t="s">
        <v>28</v>
      </c>
      <c r="O26" s="3" t="s">
        <v>29</v>
      </c>
      <c r="R26" s="3" t="s">
        <v>40</v>
      </c>
      <c r="S26" s="3" t="s">
        <v>46</v>
      </c>
    </row>
    <row r="27" ht="15.75" customHeight="1">
      <c r="A27" s="2">
        <v>46221.0</v>
      </c>
      <c r="B27" s="3" t="s">
        <v>19</v>
      </c>
      <c r="C27" s="3" t="s">
        <v>20</v>
      </c>
      <c r="D27" s="3" t="s">
        <v>41</v>
      </c>
      <c r="E27" s="3" t="s">
        <v>22</v>
      </c>
      <c r="F27" s="3" t="s">
        <v>41</v>
      </c>
      <c r="G27" s="3" t="s">
        <v>42</v>
      </c>
      <c r="H27" s="4">
        <v>13.92</v>
      </c>
      <c r="I27" s="3" t="s">
        <v>39</v>
      </c>
      <c r="J27" s="4">
        <v>1.0</v>
      </c>
      <c r="K27" s="6">
        <v>13.92</v>
      </c>
      <c r="L27" s="3" t="s">
        <v>26</v>
      </c>
      <c r="M27" s="3" t="s">
        <v>44</v>
      </c>
      <c r="N27" s="3" t="s">
        <v>28</v>
      </c>
      <c r="O27" s="3" t="s">
        <v>29</v>
      </c>
      <c r="R27" s="3" t="s">
        <v>40</v>
      </c>
      <c r="S27" s="3" t="s">
        <v>46</v>
      </c>
    </row>
    <row r="28" ht="15.75" customHeight="1">
      <c r="A28" s="2">
        <v>46252.0</v>
      </c>
      <c r="B28" s="3" t="s">
        <v>19</v>
      </c>
      <c r="C28" s="3" t="s">
        <v>20</v>
      </c>
      <c r="D28" s="3" t="s">
        <v>41</v>
      </c>
      <c r="E28" s="3" t="s">
        <v>22</v>
      </c>
      <c r="F28" s="3" t="s">
        <v>41</v>
      </c>
      <c r="G28" s="3" t="s">
        <v>42</v>
      </c>
      <c r="H28" s="4">
        <v>13.92</v>
      </c>
      <c r="I28" s="3" t="s">
        <v>39</v>
      </c>
      <c r="J28" s="4">
        <v>1.0</v>
      </c>
      <c r="K28" s="6">
        <v>13.92</v>
      </c>
      <c r="L28" s="3" t="s">
        <v>26</v>
      </c>
      <c r="M28" s="3" t="s">
        <v>44</v>
      </c>
      <c r="N28" s="3" t="s">
        <v>28</v>
      </c>
      <c r="O28" s="3" t="s">
        <v>29</v>
      </c>
      <c r="R28" s="3" t="s">
        <v>40</v>
      </c>
      <c r="S28" s="3" t="s">
        <v>46</v>
      </c>
    </row>
    <row r="29" ht="15.75" customHeight="1">
      <c r="A29" s="2">
        <v>46283.0</v>
      </c>
      <c r="B29" s="3" t="s">
        <v>19</v>
      </c>
      <c r="C29" s="3" t="s">
        <v>20</v>
      </c>
      <c r="D29" s="3" t="s">
        <v>41</v>
      </c>
      <c r="E29" s="3" t="s">
        <v>22</v>
      </c>
      <c r="F29" s="3" t="s">
        <v>41</v>
      </c>
      <c r="G29" s="3" t="s">
        <v>42</v>
      </c>
      <c r="H29" s="4">
        <v>13.92</v>
      </c>
      <c r="I29" s="3" t="s">
        <v>39</v>
      </c>
      <c r="J29" s="4">
        <v>1.0</v>
      </c>
      <c r="K29" s="6">
        <v>13.92</v>
      </c>
      <c r="L29" s="3" t="s">
        <v>26</v>
      </c>
      <c r="M29" s="3" t="s">
        <v>44</v>
      </c>
      <c r="N29" s="3" t="s">
        <v>28</v>
      </c>
      <c r="O29" s="3" t="s">
        <v>29</v>
      </c>
      <c r="R29" s="3" t="s">
        <v>40</v>
      </c>
      <c r="S29" s="3" t="s">
        <v>46</v>
      </c>
    </row>
    <row r="30" ht="15.75" customHeight="1">
      <c r="A30" s="2">
        <v>46313.0</v>
      </c>
      <c r="B30" s="3" t="s">
        <v>19</v>
      </c>
      <c r="C30" s="3" t="s">
        <v>20</v>
      </c>
      <c r="D30" s="3" t="s">
        <v>41</v>
      </c>
      <c r="E30" s="3" t="s">
        <v>22</v>
      </c>
      <c r="F30" s="3" t="s">
        <v>41</v>
      </c>
      <c r="G30" s="3" t="s">
        <v>42</v>
      </c>
      <c r="H30" s="4">
        <v>13.92</v>
      </c>
      <c r="I30" s="3" t="s">
        <v>39</v>
      </c>
      <c r="J30" s="4">
        <v>1.0</v>
      </c>
      <c r="K30" s="6">
        <v>13.92</v>
      </c>
      <c r="L30" s="3" t="s">
        <v>26</v>
      </c>
      <c r="M30" s="3" t="s">
        <v>44</v>
      </c>
      <c r="N30" s="3" t="s">
        <v>28</v>
      </c>
      <c r="O30" s="3" t="s">
        <v>29</v>
      </c>
      <c r="R30" s="3" t="s">
        <v>40</v>
      </c>
      <c r="S30" s="3" t="s">
        <v>46</v>
      </c>
    </row>
    <row r="31" ht="15.75" customHeight="1">
      <c r="A31" s="2">
        <v>46344.0</v>
      </c>
      <c r="B31" s="3" t="s">
        <v>19</v>
      </c>
      <c r="C31" s="3" t="s">
        <v>20</v>
      </c>
      <c r="D31" s="3" t="s">
        <v>41</v>
      </c>
      <c r="E31" s="3" t="s">
        <v>22</v>
      </c>
      <c r="F31" s="3" t="s">
        <v>41</v>
      </c>
      <c r="G31" s="3" t="s">
        <v>42</v>
      </c>
      <c r="H31" s="4">
        <v>13.92</v>
      </c>
      <c r="I31" s="3" t="s">
        <v>39</v>
      </c>
      <c r="J31" s="4">
        <v>1.0</v>
      </c>
      <c r="K31" s="6">
        <v>13.92</v>
      </c>
      <c r="L31" s="3" t="s">
        <v>26</v>
      </c>
      <c r="M31" s="3" t="s">
        <v>44</v>
      </c>
      <c r="N31" s="3" t="s">
        <v>28</v>
      </c>
      <c r="O31" s="3" t="s">
        <v>29</v>
      </c>
      <c r="R31" s="3" t="s">
        <v>40</v>
      </c>
      <c r="S31" s="3" t="s">
        <v>46</v>
      </c>
    </row>
    <row r="32" ht="15.75" customHeight="1">
      <c r="A32" s="2">
        <v>46374.0</v>
      </c>
      <c r="B32" s="3" t="s">
        <v>19</v>
      </c>
      <c r="C32" s="3" t="s">
        <v>20</v>
      </c>
      <c r="D32" s="3" t="s">
        <v>41</v>
      </c>
      <c r="E32" s="3" t="s">
        <v>22</v>
      </c>
      <c r="F32" s="3" t="s">
        <v>41</v>
      </c>
      <c r="G32" s="3" t="s">
        <v>42</v>
      </c>
      <c r="H32" s="4">
        <v>13.92</v>
      </c>
      <c r="I32" s="3" t="s">
        <v>39</v>
      </c>
      <c r="J32" s="4">
        <v>1.0</v>
      </c>
      <c r="K32" s="6">
        <v>13.92</v>
      </c>
      <c r="L32" s="3" t="s">
        <v>26</v>
      </c>
      <c r="M32" s="3" t="s">
        <v>44</v>
      </c>
      <c r="N32" s="3" t="s">
        <v>28</v>
      </c>
      <c r="O32" s="3" t="s">
        <v>29</v>
      </c>
      <c r="R32" s="3" t="s">
        <v>40</v>
      </c>
      <c r="S32" s="3" t="s">
        <v>46</v>
      </c>
    </row>
    <row r="33" ht="15.75" customHeight="1">
      <c r="I33" s="3"/>
      <c r="S33" s="3"/>
    </row>
    <row r="34" ht="15.75" customHeight="1">
      <c r="I34" s="3"/>
      <c r="S34" s="3"/>
    </row>
    <row r="35" ht="15.75" customHeight="1">
      <c r="I35" s="3"/>
      <c r="S35" s="3"/>
    </row>
    <row r="36" ht="15.75" customHeight="1">
      <c r="I36" s="3"/>
      <c r="S36" s="3"/>
    </row>
    <row r="37" ht="15.75" customHeight="1">
      <c r="I37" s="3"/>
      <c r="S37" s="3"/>
    </row>
    <row r="38" ht="15.75" customHeight="1">
      <c r="I38" s="3"/>
      <c r="S38" s="3"/>
    </row>
    <row r="39" ht="15.75" customHeight="1">
      <c r="I39" s="3"/>
      <c r="S39" s="3"/>
    </row>
    <row r="40" ht="15.75" customHeight="1">
      <c r="I40" s="3"/>
      <c r="S40" s="3"/>
    </row>
    <row r="41" ht="15.75" customHeight="1">
      <c r="I41" s="3"/>
      <c r="S41" s="3"/>
    </row>
    <row r="42" ht="15.75" customHeight="1">
      <c r="I42" s="3"/>
      <c r="S42" s="3"/>
    </row>
    <row r="43" ht="15.75" customHeight="1">
      <c r="I43" s="3"/>
      <c r="S43" s="3"/>
    </row>
    <row r="44" ht="15.75" customHeight="1">
      <c r="I44" s="3"/>
      <c r="S44" s="3"/>
    </row>
    <row r="45" ht="15.75" customHeight="1">
      <c r="I45" s="3"/>
      <c r="S45" s="3"/>
    </row>
    <row r="46" ht="15.75" customHeight="1">
      <c r="I46" s="3"/>
      <c r="S46" s="3"/>
    </row>
    <row r="47" ht="15.75" customHeight="1">
      <c r="I47" s="3"/>
      <c r="S47" s="3"/>
    </row>
    <row r="48" ht="15.75" customHeight="1">
      <c r="I48" s="3"/>
      <c r="S48" s="3"/>
    </row>
    <row r="49" ht="15.75" customHeight="1">
      <c r="I49" s="3"/>
      <c r="S49" s="3"/>
    </row>
    <row r="50" ht="15.75" customHeight="1">
      <c r="I50" s="3"/>
      <c r="S50" s="3"/>
    </row>
    <row r="51" ht="15.75" customHeight="1">
      <c r="I51" s="3"/>
      <c r="S51" s="3"/>
    </row>
    <row r="52" ht="15.75" customHeight="1">
      <c r="I52" s="3"/>
      <c r="S52" s="3"/>
    </row>
    <row r="53" ht="15.75" customHeight="1">
      <c r="I53" s="3"/>
      <c r="S53" s="3"/>
    </row>
    <row r="54" ht="15.75" customHeight="1">
      <c r="I54" s="3"/>
      <c r="S54" s="3"/>
    </row>
    <row r="55" ht="15.75" customHeight="1">
      <c r="I55" s="3"/>
      <c r="S55" s="3"/>
    </row>
    <row r="56" ht="15.75" customHeight="1">
      <c r="I56" s="3"/>
      <c r="S56" s="3"/>
    </row>
    <row r="57" ht="15.75" customHeight="1">
      <c r="I57" s="3"/>
      <c r="S57" s="3"/>
    </row>
    <row r="58" ht="15.75" customHeight="1">
      <c r="I58" s="3"/>
      <c r="S58" s="3"/>
    </row>
    <row r="59" ht="15.75" customHeight="1">
      <c r="I59" s="3"/>
      <c r="S59" s="3"/>
    </row>
    <row r="60" ht="15.75" customHeight="1">
      <c r="I60" s="3"/>
      <c r="S60" s="3"/>
    </row>
    <row r="61" ht="15.75" customHeight="1">
      <c r="I61" s="3"/>
      <c r="S61" s="3"/>
    </row>
    <row r="62" ht="15.75" customHeight="1">
      <c r="I62" s="3"/>
      <c r="S62" s="3"/>
    </row>
    <row r="63" ht="15.75" customHeight="1">
      <c r="I63" s="3"/>
      <c r="S63" s="3"/>
    </row>
    <row r="64" ht="15.75" customHeight="1">
      <c r="I64" s="3"/>
      <c r="S64" s="3"/>
    </row>
    <row r="65" ht="15.75" customHeight="1">
      <c r="I65" s="3"/>
      <c r="S65" s="3"/>
    </row>
    <row r="66" ht="15.75" customHeight="1">
      <c r="I66" s="3"/>
      <c r="S66" s="3"/>
    </row>
    <row r="67" ht="15.75" customHeight="1">
      <c r="I67" s="3"/>
      <c r="S67" s="3"/>
    </row>
    <row r="68" ht="15.75" customHeight="1">
      <c r="I68" s="3"/>
      <c r="S68" s="3"/>
    </row>
    <row r="69" ht="15.75" customHeight="1">
      <c r="I69" s="3"/>
      <c r="S69" s="3"/>
    </row>
    <row r="70" ht="15.75" customHeight="1">
      <c r="I70" s="3"/>
      <c r="S70" s="3"/>
    </row>
    <row r="71" ht="15.75" customHeight="1">
      <c r="I71" s="3"/>
      <c r="S71" s="3"/>
    </row>
    <row r="72" ht="15.75" customHeight="1">
      <c r="I72" s="3"/>
      <c r="S72" s="3"/>
    </row>
    <row r="73" ht="15.75" customHeight="1">
      <c r="I73" s="3"/>
      <c r="S73" s="3"/>
    </row>
    <row r="74" ht="15.75" customHeight="1">
      <c r="I74" s="3"/>
      <c r="S74" s="3"/>
    </row>
    <row r="75" ht="15.75" customHeight="1">
      <c r="I75" s="3"/>
      <c r="S75" s="3"/>
    </row>
    <row r="76" ht="15.75" customHeight="1">
      <c r="I76" s="3"/>
      <c r="S76" s="3"/>
    </row>
    <row r="77" ht="15.75" customHeight="1">
      <c r="I77" s="3"/>
      <c r="S77" s="3"/>
    </row>
    <row r="78" ht="15.75" customHeight="1">
      <c r="I78" s="3"/>
      <c r="S78" s="3"/>
    </row>
    <row r="79" ht="15.75" customHeight="1">
      <c r="I79" s="3"/>
      <c r="S79" s="3"/>
    </row>
    <row r="80" ht="15.75" customHeight="1">
      <c r="I80" s="3"/>
      <c r="S80" s="3"/>
    </row>
    <row r="81" ht="15.75" customHeight="1">
      <c r="I81" s="3"/>
      <c r="S81" s="3"/>
    </row>
    <row r="82" ht="15.75" customHeight="1">
      <c r="I82" s="3"/>
      <c r="S82" s="3"/>
    </row>
    <row r="83" ht="15.75" customHeight="1">
      <c r="I83" s="3"/>
      <c r="S83" s="3"/>
    </row>
    <row r="84" ht="15.75" customHeight="1">
      <c r="I84" s="3"/>
      <c r="S84" s="3"/>
    </row>
    <row r="85" ht="15.75" customHeight="1">
      <c r="I85" s="3"/>
      <c r="S85" s="3"/>
    </row>
    <row r="86" ht="15.75" customHeight="1">
      <c r="I86" s="3"/>
      <c r="S86" s="3"/>
    </row>
    <row r="87" ht="15.75" customHeight="1">
      <c r="I87" s="3"/>
      <c r="S87" s="3"/>
    </row>
    <row r="88" ht="15.75" customHeight="1">
      <c r="I88" s="3"/>
      <c r="S88" s="3"/>
    </row>
    <row r="89" ht="15.75" customHeight="1">
      <c r="I89" s="3"/>
      <c r="S89" s="3"/>
    </row>
    <row r="90" ht="15.75" customHeight="1">
      <c r="I90" s="3"/>
      <c r="S90" s="3"/>
    </row>
    <row r="91" ht="15.75" customHeight="1">
      <c r="I91" s="3"/>
      <c r="S91" s="3"/>
    </row>
    <row r="92" ht="15.75" customHeight="1">
      <c r="I92" s="3"/>
      <c r="S92" s="3"/>
    </row>
    <row r="93" ht="15.75" customHeight="1">
      <c r="I93" s="3"/>
      <c r="S93" s="3"/>
    </row>
    <row r="94" ht="15.75" customHeight="1">
      <c r="I94" s="3"/>
      <c r="S94" s="3"/>
    </row>
    <row r="95" ht="15.75" customHeight="1">
      <c r="I95" s="3"/>
      <c r="S95" s="3"/>
    </row>
    <row r="96" ht="15.75" customHeight="1">
      <c r="I96" s="3"/>
      <c r="S96" s="3"/>
    </row>
    <row r="97" ht="15.75" customHeight="1">
      <c r="I97" s="3"/>
      <c r="S97" s="3"/>
    </row>
    <row r="98" ht="15.75" customHeight="1">
      <c r="I98" s="3"/>
      <c r="S98" s="3"/>
    </row>
    <row r="99" ht="15.75" customHeight="1">
      <c r="I99" s="3"/>
      <c r="S99" s="3"/>
    </row>
    <row r="100" ht="15.75" customHeight="1">
      <c r="I100" s="3"/>
      <c r="S100" s="3"/>
    </row>
    <row r="101" ht="15.75" customHeight="1">
      <c r="I101" s="3"/>
      <c r="S101" s="3"/>
    </row>
    <row r="102" ht="15.75" customHeight="1">
      <c r="I102" s="3"/>
      <c r="S102" s="3"/>
    </row>
    <row r="103" ht="15.75" customHeight="1">
      <c r="I103" s="3"/>
      <c r="S103" s="3"/>
    </row>
    <row r="104" ht="15.75" customHeight="1">
      <c r="I104" s="3"/>
      <c r="S104" s="3"/>
    </row>
    <row r="105" ht="15.75" customHeight="1">
      <c r="I105" s="3"/>
      <c r="S105" s="3"/>
    </row>
    <row r="106" ht="15.75" customHeight="1">
      <c r="I106" s="3"/>
      <c r="S106" s="3"/>
    </row>
    <row r="107" ht="15.75" customHeight="1">
      <c r="I107" s="3"/>
      <c r="S107" s="3"/>
    </row>
    <row r="108" ht="15.75" customHeight="1">
      <c r="I108" s="3"/>
      <c r="S108" s="3"/>
    </row>
    <row r="109" ht="15.75" customHeight="1">
      <c r="I109" s="3"/>
      <c r="S109" s="3"/>
    </row>
    <row r="110" ht="15.75" customHeight="1">
      <c r="I110" s="3"/>
      <c r="S110" s="3"/>
    </row>
    <row r="111" ht="15.75" customHeight="1">
      <c r="I111" s="3"/>
      <c r="S111" s="3"/>
    </row>
    <row r="112" ht="15.75" customHeight="1">
      <c r="I112" s="3"/>
      <c r="S112" s="3"/>
    </row>
    <row r="113" ht="15.75" customHeight="1">
      <c r="I113" s="3"/>
      <c r="S113" s="3"/>
    </row>
    <row r="114" ht="15.75" customHeight="1">
      <c r="I114" s="3"/>
      <c r="S114" s="3"/>
    </row>
    <row r="115" ht="15.75" customHeight="1">
      <c r="I115" s="3"/>
      <c r="S115" s="3"/>
    </row>
    <row r="116" ht="15.75" customHeight="1">
      <c r="I116" s="3"/>
      <c r="S116" s="3"/>
    </row>
    <row r="117" ht="15.75" customHeight="1">
      <c r="I117" s="3"/>
      <c r="S117" s="3"/>
    </row>
    <row r="118" ht="15.75" customHeight="1">
      <c r="I118" s="3"/>
      <c r="S118" s="3"/>
    </row>
    <row r="119" ht="15.75" customHeight="1">
      <c r="I119" s="3"/>
      <c r="S119" s="3"/>
    </row>
    <row r="120" ht="15.75" customHeight="1">
      <c r="I120" s="3"/>
      <c r="S120" s="3"/>
    </row>
    <row r="121" ht="15.75" customHeight="1">
      <c r="I121" s="3"/>
      <c r="S121" s="3"/>
    </row>
    <row r="122" ht="15.75" customHeight="1">
      <c r="I122" s="3"/>
      <c r="S122" s="3"/>
    </row>
    <row r="123" ht="15.75" customHeight="1">
      <c r="I123" s="3"/>
      <c r="S123" s="3"/>
    </row>
    <row r="124" ht="15.75" customHeight="1">
      <c r="I124" s="3"/>
      <c r="S124" s="3"/>
    </row>
    <row r="125" ht="15.75" customHeight="1">
      <c r="I125" s="3"/>
      <c r="S125" s="3"/>
    </row>
    <row r="126" ht="15.75" customHeight="1">
      <c r="I126" s="3"/>
      <c r="S126" s="3"/>
    </row>
    <row r="127" ht="15.75" customHeight="1">
      <c r="I127" s="3"/>
      <c r="S127" s="3"/>
    </row>
    <row r="128" ht="15.75" customHeight="1">
      <c r="I128" s="3"/>
      <c r="S128" s="3"/>
    </row>
    <row r="129" ht="15.75" customHeight="1">
      <c r="I129" s="3"/>
      <c r="S129" s="3"/>
    </row>
    <row r="130" ht="15.75" customHeight="1">
      <c r="I130" s="3"/>
      <c r="S130" s="3"/>
    </row>
    <row r="131" ht="15.75" customHeight="1">
      <c r="I131" s="3"/>
      <c r="S131" s="3"/>
    </row>
    <row r="132" ht="15.75" customHeight="1">
      <c r="I132" s="3"/>
      <c r="S132" s="3"/>
    </row>
    <row r="133" ht="15.75" customHeight="1">
      <c r="I133" s="3"/>
      <c r="S133" s="3"/>
    </row>
    <row r="134" ht="15.75" customHeight="1">
      <c r="I134" s="3"/>
      <c r="S134" s="3"/>
    </row>
    <row r="135" ht="15.75" customHeight="1">
      <c r="I135" s="3"/>
      <c r="S135" s="3"/>
    </row>
    <row r="136" ht="15.75" customHeight="1">
      <c r="I136" s="3"/>
      <c r="S136" s="3"/>
    </row>
    <row r="137" ht="15.75" customHeight="1">
      <c r="I137" s="3"/>
      <c r="S137" s="3"/>
    </row>
    <row r="138" ht="15.75" customHeight="1">
      <c r="I138" s="3"/>
      <c r="S138" s="3"/>
    </row>
    <row r="139" ht="15.75" customHeight="1">
      <c r="I139" s="3"/>
      <c r="S139" s="3"/>
    </row>
    <row r="140" ht="15.75" customHeight="1">
      <c r="I140" s="3"/>
      <c r="S140" s="3"/>
    </row>
    <row r="141" ht="15.75" customHeight="1">
      <c r="I141" s="3"/>
      <c r="S141" s="3"/>
    </row>
    <row r="142" ht="15.75" customHeight="1">
      <c r="I142" s="3"/>
      <c r="S142" s="3"/>
    </row>
    <row r="143" ht="15.75" customHeight="1">
      <c r="I143" s="3"/>
      <c r="S143" s="3"/>
    </row>
    <row r="144" ht="15.75" customHeight="1">
      <c r="I144" s="3"/>
      <c r="S144" s="3"/>
    </row>
    <row r="145" ht="15.75" customHeight="1">
      <c r="I145" s="3"/>
      <c r="S145" s="3"/>
    </row>
    <row r="146" ht="15.75" customHeight="1">
      <c r="I146" s="3"/>
      <c r="S146" s="3"/>
    </row>
    <row r="147" ht="15.75" customHeight="1">
      <c r="I147" s="3"/>
      <c r="S147" s="3"/>
    </row>
    <row r="148" ht="15.75" customHeight="1">
      <c r="I148" s="3"/>
      <c r="S148" s="3"/>
    </row>
    <row r="149" ht="15.75" customHeight="1">
      <c r="I149" s="3"/>
      <c r="S149" s="3"/>
    </row>
    <row r="150" ht="15.75" customHeight="1">
      <c r="I150" s="3"/>
      <c r="S150" s="3"/>
    </row>
    <row r="151" ht="15.75" customHeight="1">
      <c r="I151" s="3"/>
      <c r="S151" s="3"/>
    </row>
    <row r="152" ht="15.75" customHeight="1">
      <c r="I152" s="3"/>
      <c r="S152" s="3"/>
    </row>
    <row r="153" ht="15.75" customHeight="1">
      <c r="I153" s="3"/>
      <c r="S153" s="3"/>
    </row>
    <row r="154" ht="15.75" customHeight="1">
      <c r="I154" s="3"/>
      <c r="S154" s="3"/>
    </row>
    <row r="155" ht="15.75" customHeight="1">
      <c r="I155" s="3"/>
      <c r="S155" s="3"/>
    </row>
    <row r="156" ht="15.75" customHeight="1">
      <c r="I156" s="3"/>
      <c r="S156" s="3"/>
    </row>
    <row r="157" ht="15.75" customHeight="1">
      <c r="I157" s="3"/>
      <c r="S157" s="3"/>
    </row>
    <row r="158" ht="15.75" customHeight="1">
      <c r="I158" s="3"/>
      <c r="S158" s="3"/>
    </row>
    <row r="159" ht="15.75" customHeight="1">
      <c r="I159" s="3"/>
      <c r="S159" s="3"/>
    </row>
    <row r="160" ht="15.75" customHeight="1">
      <c r="I160" s="3"/>
      <c r="S160" s="3"/>
    </row>
    <row r="161" ht="15.75" customHeight="1">
      <c r="I161" s="3"/>
      <c r="S161" s="3"/>
    </row>
    <row r="162" ht="15.75" customHeight="1">
      <c r="I162" s="3"/>
      <c r="S162" s="3"/>
    </row>
    <row r="163" ht="15.75" customHeight="1">
      <c r="I163" s="3"/>
      <c r="S163" s="3"/>
    </row>
    <row r="164" ht="15.75" customHeight="1">
      <c r="I164" s="3"/>
      <c r="S164" s="3"/>
    </row>
    <row r="165" ht="15.75" customHeight="1">
      <c r="I165" s="3"/>
      <c r="S165" s="3"/>
    </row>
    <row r="166" ht="15.75" customHeight="1">
      <c r="I166" s="3"/>
      <c r="S166" s="3"/>
    </row>
    <row r="167" ht="15.75" customHeight="1">
      <c r="I167" s="3"/>
      <c r="S167" s="3"/>
    </row>
    <row r="168" ht="15.75" customHeight="1">
      <c r="I168" s="3"/>
      <c r="S168" s="3"/>
    </row>
    <row r="169" ht="15.75" customHeight="1">
      <c r="I169" s="3"/>
      <c r="S169" s="3"/>
    </row>
    <row r="170" ht="15.75" customHeight="1">
      <c r="I170" s="3"/>
      <c r="S170" s="3"/>
    </row>
    <row r="171" ht="15.75" customHeight="1">
      <c r="I171" s="3"/>
      <c r="S171" s="3"/>
    </row>
    <row r="172" ht="15.75" customHeight="1">
      <c r="I172" s="3"/>
      <c r="S172" s="3"/>
    </row>
    <row r="173" ht="15.75" customHeight="1">
      <c r="I173" s="3"/>
      <c r="S173" s="3"/>
    </row>
    <row r="174" ht="15.75" customHeight="1">
      <c r="I174" s="3"/>
      <c r="S174" s="3"/>
    </row>
    <row r="175" ht="15.75" customHeight="1">
      <c r="I175" s="3"/>
      <c r="S175" s="3"/>
    </row>
    <row r="176" ht="15.75" customHeight="1">
      <c r="I176" s="3"/>
      <c r="S176" s="3"/>
    </row>
    <row r="177" ht="15.75" customHeight="1">
      <c r="I177" s="3"/>
      <c r="S177" s="3"/>
    </row>
    <row r="178" ht="15.75" customHeight="1">
      <c r="I178" s="3"/>
      <c r="S178" s="3"/>
    </row>
    <row r="179" ht="15.75" customHeight="1">
      <c r="I179" s="3"/>
      <c r="S179" s="3"/>
    </row>
    <row r="180" ht="15.75" customHeight="1">
      <c r="I180" s="3"/>
      <c r="S180" s="3"/>
    </row>
    <row r="181" ht="15.75" customHeight="1">
      <c r="I181" s="3"/>
      <c r="S181" s="3"/>
    </row>
    <row r="182" ht="15.75" customHeight="1">
      <c r="I182" s="3"/>
      <c r="S182" s="3"/>
    </row>
    <row r="183" ht="15.75" customHeight="1">
      <c r="I183" s="3"/>
      <c r="S183" s="3"/>
    </row>
    <row r="184" ht="15.75" customHeight="1">
      <c r="I184" s="3"/>
      <c r="S184" s="3"/>
    </row>
    <row r="185" ht="15.75" customHeight="1">
      <c r="I185" s="3"/>
      <c r="S185" s="3"/>
    </row>
    <row r="186" ht="15.75" customHeight="1">
      <c r="I186" s="3"/>
      <c r="S186" s="3"/>
    </row>
    <row r="187" ht="15.75" customHeight="1">
      <c r="I187" s="3"/>
      <c r="S187" s="3"/>
    </row>
    <row r="188" ht="15.75" customHeight="1">
      <c r="I188" s="3"/>
      <c r="S188" s="3"/>
    </row>
    <row r="189" ht="15.75" customHeight="1">
      <c r="I189" s="3"/>
      <c r="S189" s="3"/>
    </row>
    <row r="190" ht="15.75" customHeight="1">
      <c r="I190" s="3"/>
      <c r="S190" s="3"/>
    </row>
    <row r="191" ht="15.75" customHeight="1">
      <c r="I191" s="3"/>
      <c r="S191" s="3"/>
    </row>
    <row r="192" ht="15.75" customHeight="1">
      <c r="I192" s="3"/>
      <c r="S192" s="3"/>
    </row>
    <row r="193" ht="15.75" customHeight="1">
      <c r="I193" s="3"/>
      <c r="S193" s="3"/>
    </row>
    <row r="194" ht="15.75" customHeight="1">
      <c r="I194" s="3"/>
      <c r="S194" s="3"/>
    </row>
    <row r="195" ht="15.75" customHeight="1">
      <c r="I195" s="3"/>
      <c r="S195" s="3"/>
    </row>
    <row r="196" ht="15.75" customHeight="1">
      <c r="I196" s="3"/>
      <c r="S196" s="3"/>
    </row>
    <row r="197" ht="15.75" customHeight="1">
      <c r="I197" s="3"/>
      <c r="S197" s="3"/>
    </row>
    <row r="198" ht="15.75" customHeight="1">
      <c r="I198" s="3"/>
      <c r="S198" s="3"/>
    </row>
    <row r="199" ht="15.75" customHeight="1">
      <c r="I199" s="3"/>
      <c r="S199" s="3"/>
    </row>
    <row r="200" ht="15.75" customHeight="1">
      <c r="I200" s="3"/>
      <c r="S200" s="3"/>
    </row>
    <row r="201" ht="15.75" customHeight="1">
      <c r="I201" s="3"/>
      <c r="S201" s="3"/>
    </row>
    <row r="202" ht="15.75" customHeight="1">
      <c r="I202" s="3"/>
      <c r="S202" s="3"/>
    </row>
    <row r="203" ht="15.75" customHeight="1">
      <c r="I203" s="3"/>
      <c r="S203" s="3"/>
    </row>
    <row r="204" ht="15.75" customHeight="1">
      <c r="I204" s="3"/>
      <c r="S204" s="3"/>
    </row>
    <row r="205" ht="15.75" customHeight="1">
      <c r="I205" s="3"/>
      <c r="S205" s="3"/>
    </row>
    <row r="206" ht="15.75" customHeight="1">
      <c r="I206" s="3"/>
      <c r="S206" s="3"/>
    </row>
    <row r="207" ht="15.75" customHeight="1">
      <c r="I207" s="3"/>
      <c r="S207" s="3"/>
    </row>
    <row r="208" ht="15.75" customHeight="1">
      <c r="I208" s="3"/>
      <c r="S208" s="3"/>
    </row>
    <row r="209" ht="15.75" customHeight="1">
      <c r="I209" s="3"/>
      <c r="S209" s="3"/>
    </row>
    <row r="210" ht="15.75" customHeight="1">
      <c r="I210" s="3"/>
      <c r="S210" s="3"/>
    </row>
    <row r="211" ht="15.75" customHeight="1">
      <c r="I211" s="3"/>
      <c r="S211" s="3"/>
    </row>
    <row r="212" ht="15.75" customHeight="1">
      <c r="I212" s="3"/>
      <c r="S212" s="3"/>
    </row>
    <row r="213" ht="15.75" customHeight="1">
      <c r="I213" s="3"/>
      <c r="S213" s="3"/>
    </row>
    <row r="214" ht="15.75" customHeight="1">
      <c r="I214" s="3"/>
      <c r="S214" s="3"/>
    </row>
    <row r="215" ht="15.75" customHeight="1">
      <c r="I215" s="3"/>
      <c r="S215" s="3"/>
    </row>
    <row r="216" ht="15.75" customHeight="1">
      <c r="I216" s="3"/>
      <c r="S216" s="3"/>
    </row>
    <row r="217" ht="15.75" customHeight="1">
      <c r="I217" s="3"/>
      <c r="S217" s="3"/>
    </row>
    <row r="218" ht="15.75" customHeight="1">
      <c r="I218" s="3"/>
      <c r="S218" s="3"/>
    </row>
    <row r="219" ht="15.75" customHeight="1">
      <c r="I219" s="3"/>
      <c r="S219" s="3"/>
    </row>
    <row r="220" ht="15.75" customHeight="1">
      <c r="I220" s="3"/>
      <c r="S220" s="3"/>
    </row>
    <row r="221" ht="15.75" customHeight="1">
      <c r="I221" s="3"/>
      <c r="S221" s="3"/>
    </row>
    <row r="222" ht="15.75" customHeight="1">
      <c r="I222" s="3"/>
      <c r="S222" s="3"/>
    </row>
    <row r="223" ht="15.75" customHeight="1">
      <c r="I223" s="3"/>
      <c r="S223" s="3"/>
    </row>
    <row r="224" ht="15.75" customHeight="1">
      <c r="I224" s="3"/>
      <c r="S224" s="3"/>
    </row>
    <row r="225" ht="15.75" customHeight="1">
      <c r="I225" s="3"/>
      <c r="S225" s="3"/>
    </row>
    <row r="226" ht="15.75" customHeight="1">
      <c r="I226" s="3"/>
      <c r="S226" s="3"/>
    </row>
    <row r="227" ht="15.75" customHeight="1">
      <c r="I227" s="3"/>
      <c r="S227" s="3"/>
    </row>
    <row r="228" ht="15.75" customHeight="1">
      <c r="I228" s="3"/>
      <c r="S228" s="3"/>
    </row>
    <row r="229" ht="15.75" customHeight="1">
      <c r="I229" s="3"/>
      <c r="S229" s="3"/>
    </row>
    <row r="230" ht="15.75" customHeight="1">
      <c r="I230" s="3"/>
      <c r="S230" s="3"/>
    </row>
    <row r="231" ht="15.75" customHeight="1">
      <c r="I231" s="3"/>
      <c r="S231" s="3"/>
    </row>
    <row r="232" ht="15.75" customHeight="1">
      <c r="I232" s="3"/>
      <c r="S232" s="3"/>
    </row>
    <row r="233" ht="15.75" customHeight="1">
      <c r="I233" s="3"/>
      <c r="S233" s="3"/>
    </row>
    <row r="234" ht="15.75" customHeight="1">
      <c r="I234" s="3"/>
      <c r="S234" s="3"/>
    </row>
    <row r="235" ht="15.75" customHeight="1">
      <c r="I235" s="3"/>
      <c r="S235" s="3"/>
    </row>
    <row r="236" ht="15.75" customHeight="1">
      <c r="I236" s="3"/>
      <c r="S236" s="3"/>
    </row>
    <row r="237" ht="15.75" customHeight="1">
      <c r="I237" s="3"/>
      <c r="S237" s="3"/>
    </row>
    <row r="238" ht="15.75" customHeight="1">
      <c r="I238" s="3"/>
      <c r="S238" s="3"/>
    </row>
    <row r="239" ht="15.75" customHeight="1">
      <c r="I239" s="3"/>
      <c r="S239" s="3"/>
    </row>
    <row r="240" ht="15.75" customHeight="1">
      <c r="I240" s="3"/>
      <c r="S240" s="3"/>
    </row>
    <row r="241" ht="15.75" customHeight="1">
      <c r="I241" s="3"/>
      <c r="S241" s="3"/>
    </row>
    <row r="242" ht="15.75" customHeight="1">
      <c r="I242" s="3"/>
      <c r="S242" s="3"/>
    </row>
    <row r="243" ht="15.75" customHeight="1">
      <c r="I243" s="3"/>
      <c r="S243" s="3"/>
    </row>
    <row r="244" ht="15.75" customHeight="1">
      <c r="I244" s="3"/>
      <c r="S244" s="3"/>
    </row>
    <row r="245" ht="15.75" customHeight="1">
      <c r="I245" s="3"/>
      <c r="S245" s="3"/>
    </row>
    <row r="246" ht="15.75" customHeight="1">
      <c r="I246" s="3"/>
      <c r="S246" s="3"/>
    </row>
    <row r="247" ht="15.75" customHeight="1">
      <c r="I247" s="3"/>
      <c r="S247" s="3"/>
    </row>
    <row r="248" ht="15.75" customHeight="1">
      <c r="I248" s="3"/>
      <c r="S248" s="3"/>
    </row>
    <row r="249" ht="15.75" customHeight="1">
      <c r="I249" s="3"/>
      <c r="S249" s="3"/>
    </row>
    <row r="250" ht="15.75" customHeight="1">
      <c r="I250" s="3"/>
      <c r="S250" s="3"/>
    </row>
    <row r="251" ht="15.75" customHeight="1">
      <c r="I251" s="3"/>
      <c r="S251" s="3"/>
    </row>
    <row r="252" ht="15.75" customHeight="1">
      <c r="I252" s="3"/>
      <c r="S252" s="3"/>
    </row>
    <row r="253" ht="15.75" customHeight="1">
      <c r="I253" s="3"/>
      <c r="S253" s="3"/>
    </row>
    <row r="254" ht="15.75" customHeight="1">
      <c r="I254" s="3"/>
      <c r="S254" s="3"/>
    </row>
    <row r="255" ht="15.75" customHeight="1">
      <c r="I255" s="3"/>
      <c r="S255" s="3"/>
    </row>
    <row r="256" ht="15.75" customHeight="1">
      <c r="I256" s="3"/>
      <c r="S256" s="3"/>
    </row>
    <row r="257" ht="15.75" customHeight="1">
      <c r="I257" s="3"/>
      <c r="S257" s="3"/>
    </row>
    <row r="258" ht="15.75" customHeight="1">
      <c r="I258" s="3"/>
      <c r="S258" s="3"/>
    </row>
    <row r="259" ht="15.75" customHeight="1">
      <c r="I259" s="3"/>
      <c r="S259" s="3"/>
    </row>
    <row r="260" ht="15.75" customHeight="1">
      <c r="I260" s="3"/>
      <c r="S260" s="3"/>
    </row>
    <row r="261" ht="15.75" customHeight="1">
      <c r="I261" s="3"/>
      <c r="S261" s="3"/>
    </row>
    <row r="262" ht="15.75" customHeight="1">
      <c r="I262" s="3"/>
      <c r="S262" s="3"/>
    </row>
    <row r="263" ht="15.75" customHeight="1">
      <c r="I263" s="3"/>
      <c r="S263" s="3"/>
    </row>
    <row r="264" ht="15.75" customHeight="1">
      <c r="I264" s="3"/>
      <c r="S264" s="3"/>
    </row>
    <row r="265" ht="15.75" customHeight="1">
      <c r="I265" s="3"/>
      <c r="S265" s="3"/>
    </row>
    <row r="266" ht="15.75" customHeight="1">
      <c r="I266" s="3"/>
      <c r="S266" s="3"/>
    </row>
    <row r="267" ht="15.75" customHeight="1">
      <c r="I267" s="3"/>
      <c r="S267" s="3"/>
    </row>
    <row r="268" ht="15.75" customHeight="1">
      <c r="I268" s="3"/>
      <c r="S268" s="3"/>
    </row>
    <row r="269" ht="15.75" customHeight="1">
      <c r="I269" s="3"/>
      <c r="S269" s="3"/>
    </row>
    <row r="270" ht="15.75" customHeight="1">
      <c r="I270" s="3"/>
      <c r="S270" s="3"/>
    </row>
    <row r="271" ht="15.75" customHeight="1">
      <c r="I271" s="3"/>
      <c r="S271" s="3"/>
    </row>
    <row r="272" ht="15.75" customHeight="1">
      <c r="I272" s="3"/>
      <c r="S272" s="3"/>
    </row>
    <row r="273" ht="15.75" customHeight="1">
      <c r="I273" s="3"/>
      <c r="S273" s="3"/>
    </row>
    <row r="274" ht="15.75" customHeight="1">
      <c r="I274" s="3"/>
      <c r="S274" s="3"/>
    </row>
    <row r="275" ht="15.75" customHeight="1">
      <c r="I275" s="3"/>
      <c r="S275" s="3"/>
    </row>
    <row r="276" ht="15.75" customHeight="1">
      <c r="I276" s="3"/>
      <c r="S276" s="3"/>
    </row>
    <row r="277" ht="15.75" customHeight="1">
      <c r="I277" s="3"/>
      <c r="S277" s="3"/>
    </row>
    <row r="278" ht="15.75" customHeight="1">
      <c r="I278" s="3"/>
      <c r="S278" s="3"/>
    </row>
    <row r="279" ht="15.75" customHeight="1">
      <c r="I279" s="3"/>
      <c r="S279" s="3"/>
    </row>
    <row r="280" ht="15.75" customHeight="1">
      <c r="I280" s="3"/>
      <c r="S280" s="3"/>
    </row>
    <row r="281" ht="15.75" customHeight="1">
      <c r="I281" s="3"/>
      <c r="S281" s="3"/>
    </row>
    <row r="282" ht="15.75" customHeight="1">
      <c r="I282" s="3"/>
      <c r="S282" s="3"/>
    </row>
    <row r="283" ht="15.75" customHeight="1">
      <c r="I283" s="3"/>
      <c r="S283" s="3"/>
    </row>
    <row r="284" ht="15.75" customHeight="1">
      <c r="I284" s="3"/>
      <c r="S284" s="3"/>
    </row>
    <row r="285" ht="15.75" customHeight="1">
      <c r="I285" s="3"/>
      <c r="S285" s="3"/>
    </row>
    <row r="286" ht="15.75" customHeight="1">
      <c r="I286" s="3"/>
      <c r="S286" s="3"/>
    </row>
    <row r="287" ht="15.75" customHeight="1">
      <c r="I287" s="3"/>
      <c r="S287" s="3"/>
    </row>
    <row r="288" ht="15.75" customHeight="1">
      <c r="I288" s="3"/>
      <c r="S288" s="3"/>
    </row>
    <row r="289" ht="15.75" customHeight="1">
      <c r="I289" s="3"/>
      <c r="S289" s="3"/>
    </row>
    <row r="290" ht="15.75" customHeight="1">
      <c r="I290" s="3"/>
      <c r="S290" s="3"/>
    </row>
    <row r="291" ht="15.75" customHeight="1">
      <c r="I291" s="3"/>
      <c r="S291" s="3"/>
    </row>
    <row r="292" ht="15.75" customHeight="1">
      <c r="I292" s="3"/>
      <c r="S292" s="3"/>
    </row>
    <row r="293" ht="15.75" customHeight="1">
      <c r="I293" s="3"/>
      <c r="S293" s="3"/>
    </row>
    <row r="294" ht="15.75" customHeight="1">
      <c r="I294" s="3"/>
      <c r="S294" s="3"/>
    </row>
    <row r="295" ht="15.75" customHeight="1">
      <c r="I295" s="3"/>
      <c r="S295" s="3"/>
    </row>
    <row r="296" ht="15.75" customHeight="1">
      <c r="I296" s="3"/>
      <c r="S296" s="3"/>
    </row>
    <row r="297" ht="15.75" customHeight="1">
      <c r="I297" s="3"/>
      <c r="S297" s="3"/>
    </row>
    <row r="298" ht="15.75" customHeight="1">
      <c r="I298" s="3"/>
      <c r="S298" s="3"/>
    </row>
    <row r="299" ht="15.75" customHeight="1">
      <c r="I299" s="3"/>
      <c r="S299" s="3"/>
    </row>
    <row r="300" ht="15.75" customHeight="1">
      <c r="I300" s="3"/>
      <c r="S300" s="3"/>
    </row>
    <row r="301" ht="15.75" customHeight="1">
      <c r="I301" s="3"/>
      <c r="S301" s="3"/>
    </row>
    <row r="302" ht="15.75" customHeight="1">
      <c r="I302" s="3"/>
      <c r="S302" s="3"/>
    </row>
    <row r="303" ht="15.75" customHeight="1">
      <c r="I303" s="3"/>
      <c r="S303" s="3"/>
    </row>
    <row r="304" ht="15.75" customHeight="1">
      <c r="I304" s="3"/>
      <c r="S304" s="3"/>
    </row>
    <row r="305" ht="15.75" customHeight="1">
      <c r="I305" s="3"/>
      <c r="S305" s="3"/>
    </row>
    <row r="306" ht="15.75" customHeight="1">
      <c r="I306" s="3"/>
      <c r="S306" s="3"/>
    </row>
    <row r="307" ht="15.75" customHeight="1">
      <c r="I307" s="3"/>
      <c r="S307" s="3"/>
    </row>
    <row r="308" ht="15.75" customHeight="1">
      <c r="I308" s="3"/>
      <c r="S308" s="3"/>
    </row>
    <row r="309" ht="15.75" customHeight="1">
      <c r="I309" s="3"/>
      <c r="S309" s="3"/>
    </row>
    <row r="310" ht="15.75" customHeight="1">
      <c r="I310" s="3"/>
      <c r="S310" s="3"/>
    </row>
    <row r="311" ht="15.75" customHeight="1">
      <c r="I311" s="3"/>
      <c r="S311" s="3"/>
    </row>
    <row r="312" ht="15.75" customHeight="1">
      <c r="I312" s="3"/>
      <c r="S312" s="3"/>
    </row>
    <row r="313" ht="15.75" customHeight="1">
      <c r="I313" s="3"/>
      <c r="S313" s="3"/>
    </row>
    <row r="314" ht="15.75" customHeight="1">
      <c r="I314" s="3"/>
      <c r="S314" s="3"/>
    </row>
    <row r="315" ht="15.75" customHeight="1">
      <c r="I315" s="3"/>
      <c r="S315" s="3"/>
    </row>
    <row r="316" ht="15.75" customHeight="1">
      <c r="I316" s="3"/>
      <c r="S316" s="3"/>
    </row>
    <row r="317" ht="15.75" customHeight="1">
      <c r="I317" s="3"/>
      <c r="S317" s="3"/>
    </row>
    <row r="318" ht="15.75" customHeight="1">
      <c r="I318" s="3"/>
      <c r="S318" s="3"/>
    </row>
    <row r="319" ht="15.75" customHeight="1">
      <c r="I319" s="3"/>
      <c r="S319" s="3"/>
    </row>
    <row r="320" ht="15.75" customHeight="1">
      <c r="I320" s="3"/>
      <c r="S320" s="3"/>
    </row>
    <row r="321" ht="15.75" customHeight="1">
      <c r="I321" s="3"/>
      <c r="S321" s="3"/>
    </row>
    <row r="322" ht="15.75" customHeight="1">
      <c r="I322" s="3"/>
      <c r="S322" s="3"/>
    </row>
    <row r="323" ht="15.75" customHeight="1">
      <c r="I323" s="3"/>
      <c r="S323" s="3"/>
    </row>
    <row r="324" ht="15.75" customHeight="1">
      <c r="I324" s="3"/>
      <c r="S324" s="3"/>
    </row>
    <row r="325" ht="15.75" customHeight="1">
      <c r="I325" s="3"/>
      <c r="S325" s="3"/>
    </row>
    <row r="326" ht="15.75" customHeight="1">
      <c r="I326" s="3"/>
      <c r="S326" s="3"/>
    </row>
    <row r="327" ht="15.75" customHeight="1">
      <c r="I327" s="3"/>
      <c r="S327" s="3"/>
    </row>
    <row r="328" ht="15.75" customHeight="1">
      <c r="I328" s="3"/>
      <c r="S328" s="3"/>
    </row>
    <row r="329" ht="15.75" customHeight="1">
      <c r="I329" s="3"/>
      <c r="S329" s="3"/>
    </row>
    <row r="330" ht="15.75" customHeight="1">
      <c r="I330" s="3"/>
      <c r="S330" s="3"/>
    </row>
    <row r="331" ht="15.75" customHeight="1">
      <c r="I331" s="3"/>
      <c r="S331" s="3"/>
    </row>
    <row r="332" ht="15.75" customHeight="1">
      <c r="I332" s="3"/>
      <c r="S332" s="3"/>
    </row>
    <row r="333" ht="15.75" customHeight="1">
      <c r="I333" s="3"/>
      <c r="S333" s="3"/>
    </row>
    <row r="334" ht="15.75" customHeight="1">
      <c r="I334" s="3"/>
      <c r="S334" s="3"/>
    </row>
    <row r="335" ht="15.75" customHeight="1">
      <c r="I335" s="3"/>
      <c r="S335" s="3"/>
    </row>
    <row r="336" ht="15.75" customHeight="1">
      <c r="I336" s="3"/>
      <c r="S336" s="3"/>
    </row>
    <row r="337" ht="15.75" customHeight="1">
      <c r="I337" s="3"/>
      <c r="S337" s="3"/>
    </row>
    <row r="338" ht="15.75" customHeight="1">
      <c r="I338" s="3"/>
      <c r="S338" s="3"/>
    </row>
    <row r="339" ht="15.75" customHeight="1">
      <c r="I339" s="3"/>
      <c r="S339" s="3"/>
    </row>
    <row r="340" ht="15.75" customHeight="1">
      <c r="I340" s="3"/>
      <c r="S340" s="3"/>
    </row>
    <row r="341" ht="15.75" customHeight="1">
      <c r="I341" s="3"/>
      <c r="S341" s="3"/>
    </row>
    <row r="342" ht="15.75" customHeight="1">
      <c r="I342" s="3"/>
      <c r="S342" s="3"/>
    </row>
    <row r="343" ht="15.75" customHeight="1">
      <c r="I343" s="3"/>
      <c r="S343" s="3"/>
    </row>
    <row r="344" ht="15.75" customHeight="1">
      <c r="I344" s="3"/>
      <c r="S344" s="3"/>
    </row>
    <row r="345" ht="15.75" customHeight="1">
      <c r="I345" s="3"/>
      <c r="S345" s="3"/>
    </row>
    <row r="346" ht="15.75" customHeight="1">
      <c r="I346" s="3"/>
      <c r="S346" s="3"/>
    </row>
    <row r="347" ht="15.75" customHeight="1">
      <c r="I347" s="3"/>
      <c r="S347" s="3"/>
    </row>
    <row r="348" ht="15.75" customHeight="1">
      <c r="I348" s="3"/>
      <c r="S348" s="3"/>
    </row>
    <row r="349" ht="15.75" customHeight="1">
      <c r="I349" s="3"/>
      <c r="S349" s="3"/>
    </row>
    <row r="350" ht="15.75" customHeight="1">
      <c r="I350" s="3"/>
      <c r="S350" s="3"/>
    </row>
    <row r="351" ht="15.75" customHeight="1">
      <c r="I351" s="3"/>
      <c r="S351" s="3"/>
    </row>
    <row r="352" ht="15.75" customHeight="1">
      <c r="I352" s="3"/>
      <c r="S352" s="3"/>
    </row>
    <row r="353" ht="15.75" customHeight="1">
      <c r="I353" s="3"/>
      <c r="S353" s="3"/>
    </row>
    <row r="354" ht="15.75" customHeight="1">
      <c r="I354" s="3"/>
      <c r="S354" s="3"/>
    </row>
    <row r="355" ht="15.75" customHeight="1">
      <c r="I355" s="3"/>
      <c r="S355" s="3"/>
    </row>
    <row r="356" ht="15.75" customHeight="1">
      <c r="I356" s="3"/>
      <c r="S356" s="3"/>
    </row>
    <row r="357" ht="15.75" customHeight="1">
      <c r="I357" s="3"/>
      <c r="S357" s="3"/>
    </row>
    <row r="358" ht="15.75" customHeight="1">
      <c r="I358" s="3"/>
      <c r="S358" s="3"/>
    </row>
    <row r="359" ht="15.75" customHeight="1">
      <c r="I359" s="3"/>
      <c r="S359" s="3"/>
    </row>
    <row r="360" ht="15.75" customHeight="1">
      <c r="I360" s="3"/>
      <c r="S360" s="3"/>
    </row>
    <row r="361" ht="15.75" customHeight="1">
      <c r="I361" s="3"/>
      <c r="S361" s="3"/>
    </row>
    <row r="362" ht="15.75" customHeight="1">
      <c r="I362" s="3"/>
      <c r="S362" s="3"/>
    </row>
    <row r="363" ht="15.75" customHeight="1">
      <c r="I363" s="3"/>
      <c r="S363" s="3"/>
    </row>
    <row r="364" ht="15.75" customHeight="1">
      <c r="I364" s="3"/>
      <c r="S364" s="3"/>
    </row>
    <row r="365" ht="15.75" customHeight="1">
      <c r="I365" s="3"/>
      <c r="S365" s="3"/>
    </row>
    <row r="366" ht="15.75" customHeight="1">
      <c r="I366" s="3"/>
      <c r="S366" s="3"/>
    </row>
    <row r="367" ht="15.75" customHeight="1">
      <c r="I367" s="3"/>
      <c r="S367" s="3"/>
    </row>
    <row r="368" ht="15.75" customHeight="1">
      <c r="I368" s="3"/>
      <c r="S368" s="3"/>
    </row>
    <row r="369" ht="15.75" customHeight="1">
      <c r="I369" s="3"/>
      <c r="S369" s="3"/>
    </row>
    <row r="370" ht="15.75" customHeight="1">
      <c r="I370" s="3"/>
      <c r="S370" s="3"/>
    </row>
    <row r="371" ht="15.75" customHeight="1">
      <c r="I371" s="3"/>
      <c r="S371" s="3"/>
    </row>
    <row r="372" ht="15.75" customHeight="1">
      <c r="I372" s="3"/>
      <c r="S372" s="3"/>
    </row>
    <row r="373" ht="15.75" customHeight="1">
      <c r="I373" s="3"/>
      <c r="S373" s="3"/>
    </row>
    <row r="374" ht="15.75" customHeight="1">
      <c r="I374" s="3"/>
      <c r="S374" s="3"/>
    </row>
    <row r="375" ht="15.75" customHeight="1">
      <c r="I375" s="3"/>
      <c r="S375" s="3"/>
    </row>
    <row r="376" ht="15.75" customHeight="1">
      <c r="I376" s="3"/>
      <c r="S376" s="3"/>
    </row>
    <row r="377" ht="15.75" customHeight="1">
      <c r="I377" s="3"/>
      <c r="S377" s="3"/>
    </row>
    <row r="378" ht="15.75" customHeight="1">
      <c r="I378" s="3"/>
      <c r="S378" s="3"/>
    </row>
    <row r="379" ht="15.75" customHeight="1">
      <c r="I379" s="3"/>
      <c r="S379" s="3"/>
    </row>
    <row r="380" ht="15.75" customHeight="1">
      <c r="I380" s="3"/>
      <c r="S380" s="3"/>
    </row>
    <row r="381" ht="15.75" customHeight="1">
      <c r="I381" s="3"/>
      <c r="S381" s="3"/>
    </row>
    <row r="382" ht="15.75" customHeight="1">
      <c r="I382" s="3"/>
      <c r="S382" s="3"/>
    </row>
    <row r="383" ht="15.75" customHeight="1">
      <c r="I383" s="3"/>
      <c r="S383" s="3"/>
    </row>
    <row r="384" ht="15.75" customHeight="1">
      <c r="I384" s="3"/>
      <c r="S384" s="3"/>
    </row>
    <row r="385" ht="15.75" customHeight="1">
      <c r="I385" s="3"/>
      <c r="S385" s="3"/>
    </row>
    <row r="386" ht="15.75" customHeight="1">
      <c r="I386" s="3"/>
      <c r="S386" s="3"/>
    </row>
    <row r="387" ht="15.75" customHeight="1">
      <c r="I387" s="3"/>
      <c r="S387" s="3"/>
    </row>
    <row r="388" ht="15.75" customHeight="1">
      <c r="I388" s="3"/>
      <c r="S388" s="3"/>
    </row>
    <row r="389" ht="15.75" customHeight="1">
      <c r="I389" s="3"/>
      <c r="S389" s="3"/>
    </row>
    <row r="390" ht="15.75" customHeight="1">
      <c r="I390" s="3"/>
      <c r="S390" s="3"/>
    </row>
    <row r="391" ht="15.75" customHeight="1">
      <c r="I391" s="3"/>
      <c r="S391" s="3"/>
    </row>
    <row r="392" ht="15.75" customHeight="1">
      <c r="I392" s="3"/>
      <c r="S392" s="3"/>
    </row>
    <row r="393" ht="15.75" customHeight="1">
      <c r="I393" s="3"/>
      <c r="S393" s="3"/>
    </row>
    <row r="394" ht="15.75" customHeight="1">
      <c r="I394" s="3"/>
      <c r="S394" s="3"/>
    </row>
    <row r="395" ht="15.75" customHeight="1">
      <c r="I395" s="3"/>
      <c r="S395" s="3"/>
    </row>
    <row r="396" ht="15.75" customHeight="1">
      <c r="I396" s="3"/>
      <c r="S396" s="3"/>
    </row>
    <row r="397" ht="15.75" customHeight="1">
      <c r="I397" s="3"/>
      <c r="S397" s="3"/>
    </row>
    <row r="398" ht="15.75" customHeight="1">
      <c r="I398" s="3"/>
      <c r="S398" s="3"/>
    </row>
    <row r="399" ht="15.75" customHeight="1">
      <c r="I399" s="3"/>
      <c r="S399" s="3"/>
    </row>
    <row r="400" ht="15.75" customHeight="1">
      <c r="I400" s="3"/>
      <c r="S400" s="3"/>
    </row>
    <row r="401" ht="15.75" customHeight="1">
      <c r="I401" s="3"/>
      <c r="S401" s="3"/>
    </row>
    <row r="402" ht="15.75" customHeight="1">
      <c r="I402" s="3"/>
      <c r="S402" s="3"/>
    </row>
    <row r="403" ht="15.75" customHeight="1">
      <c r="I403" s="3"/>
      <c r="S403" s="3"/>
    </row>
    <row r="404" ht="15.75" customHeight="1">
      <c r="I404" s="3"/>
      <c r="S404" s="3"/>
    </row>
    <row r="405" ht="15.75" customHeight="1">
      <c r="I405" s="3"/>
      <c r="S405" s="3"/>
    </row>
    <row r="406" ht="15.75" customHeight="1">
      <c r="I406" s="3"/>
      <c r="S406" s="3"/>
    </row>
    <row r="407" ht="15.75" customHeight="1">
      <c r="I407" s="3"/>
      <c r="S407" s="3"/>
    </row>
    <row r="408" ht="15.75" customHeight="1">
      <c r="I408" s="3"/>
      <c r="S408" s="3"/>
    </row>
    <row r="409" ht="15.75" customHeight="1">
      <c r="I409" s="3"/>
      <c r="S409" s="3"/>
    </row>
    <row r="410" ht="15.75" customHeight="1">
      <c r="I410" s="3"/>
      <c r="S410" s="3"/>
    </row>
    <row r="411" ht="15.75" customHeight="1">
      <c r="I411" s="3"/>
      <c r="S411" s="3"/>
    </row>
    <row r="412" ht="15.75" customHeight="1">
      <c r="I412" s="3"/>
      <c r="S412" s="3"/>
    </row>
    <row r="413" ht="15.75" customHeight="1">
      <c r="I413" s="3"/>
      <c r="S413" s="3"/>
    </row>
    <row r="414" ht="15.75" customHeight="1">
      <c r="I414" s="3"/>
      <c r="S414" s="3"/>
    </row>
    <row r="415" ht="15.75" customHeight="1">
      <c r="I415" s="3"/>
      <c r="S415" s="3"/>
    </row>
    <row r="416" ht="15.75" customHeight="1">
      <c r="I416" s="3"/>
      <c r="S416" s="3"/>
    </row>
    <row r="417" ht="15.75" customHeight="1">
      <c r="I417" s="3"/>
      <c r="S417" s="3"/>
    </row>
    <row r="418" ht="15.75" customHeight="1">
      <c r="I418" s="3"/>
      <c r="S418" s="3"/>
    </row>
    <row r="419" ht="15.75" customHeight="1">
      <c r="I419" s="3"/>
      <c r="S419" s="3"/>
    </row>
    <row r="420" ht="15.75" customHeight="1">
      <c r="I420" s="3"/>
      <c r="S420" s="3"/>
    </row>
    <row r="421" ht="15.75" customHeight="1">
      <c r="I421" s="3"/>
      <c r="S421" s="3"/>
    </row>
    <row r="422" ht="15.75" customHeight="1">
      <c r="I422" s="3"/>
      <c r="S422" s="3"/>
    </row>
    <row r="423" ht="15.75" customHeight="1">
      <c r="I423" s="3"/>
      <c r="S423" s="3"/>
    </row>
    <row r="424" ht="15.75" customHeight="1">
      <c r="I424" s="3"/>
      <c r="S424" s="3"/>
    </row>
    <row r="425" ht="15.75" customHeight="1">
      <c r="I425" s="3"/>
      <c r="S425" s="3"/>
    </row>
    <row r="426" ht="15.75" customHeight="1">
      <c r="I426" s="3"/>
      <c r="S426" s="3"/>
    </row>
    <row r="427" ht="15.75" customHeight="1">
      <c r="I427" s="3"/>
      <c r="S427" s="3"/>
    </row>
    <row r="428" ht="15.75" customHeight="1">
      <c r="I428" s="3"/>
      <c r="S428" s="3"/>
    </row>
    <row r="429" ht="15.75" customHeight="1">
      <c r="I429" s="3"/>
      <c r="S429" s="3"/>
    </row>
    <row r="430" ht="15.75" customHeight="1">
      <c r="I430" s="3"/>
      <c r="S430" s="3"/>
    </row>
    <row r="431" ht="15.75" customHeight="1">
      <c r="I431" s="3"/>
      <c r="S431" s="3"/>
    </row>
    <row r="432" ht="15.75" customHeight="1">
      <c r="I432" s="3"/>
      <c r="S432" s="3"/>
    </row>
    <row r="433" ht="15.75" customHeight="1">
      <c r="I433" s="3"/>
      <c r="S433" s="3"/>
    </row>
    <row r="434" ht="15.75" customHeight="1">
      <c r="I434" s="3"/>
      <c r="S434" s="3"/>
    </row>
    <row r="435" ht="15.75" customHeight="1">
      <c r="I435" s="3"/>
      <c r="S435" s="3"/>
    </row>
    <row r="436" ht="15.75" customHeight="1">
      <c r="I436" s="3"/>
      <c r="S436" s="3"/>
    </row>
    <row r="437" ht="15.75" customHeight="1">
      <c r="I437" s="3"/>
      <c r="S437" s="3"/>
    </row>
    <row r="438" ht="15.75" customHeight="1">
      <c r="I438" s="3"/>
      <c r="S438" s="3"/>
    </row>
    <row r="439" ht="15.75" customHeight="1">
      <c r="I439" s="3"/>
      <c r="S439" s="3"/>
    </row>
    <row r="440" ht="15.75" customHeight="1">
      <c r="I440" s="3"/>
      <c r="S440" s="3"/>
    </row>
    <row r="441" ht="15.75" customHeight="1">
      <c r="I441" s="3"/>
      <c r="S441" s="3"/>
    </row>
    <row r="442" ht="15.75" customHeight="1">
      <c r="I442" s="3"/>
      <c r="S442" s="3"/>
    </row>
    <row r="443" ht="15.75" customHeight="1">
      <c r="I443" s="3"/>
      <c r="S443" s="3"/>
    </row>
    <row r="444" ht="15.75" customHeight="1">
      <c r="I444" s="3"/>
      <c r="S444" s="3"/>
    </row>
    <row r="445" ht="15.75" customHeight="1">
      <c r="I445" s="3"/>
      <c r="S445" s="3"/>
    </row>
    <row r="446" ht="15.75" customHeight="1">
      <c r="I446" s="3"/>
      <c r="S446" s="3"/>
    </row>
    <row r="447" ht="15.75" customHeight="1">
      <c r="I447" s="3"/>
      <c r="S447" s="3"/>
    </row>
    <row r="448" ht="15.75" customHeight="1">
      <c r="I448" s="3"/>
      <c r="S448" s="3"/>
    </row>
    <row r="449" ht="15.75" customHeight="1">
      <c r="I449" s="3"/>
      <c r="S449" s="3"/>
    </row>
    <row r="450" ht="15.75" customHeight="1">
      <c r="I450" s="3"/>
      <c r="S450" s="3"/>
    </row>
    <row r="451" ht="15.75" customHeight="1">
      <c r="I451" s="3"/>
      <c r="S451" s="3"/>
    </row>
    <row r="452" ht="15.75" customHeight="1">
      <c r="I452" s="3"/>
      <c r="S452" s="3"/>
    </row>
    <row r="453" ht="15.75" customHeight="1">
      <c r="I453" s="3"/>
      <c r="S453" s="3"/>
    </row>
    <row r="454" ht="15.75" customHeight="1">
      <c r="I454" s="3"/>
      <c r="S454" s="3"/>
    </row>
    <row r="455" ht="15.75" customHeight="1">
      <c r="I455" s="3"/>
      <c r="S455" s="3"/>
    </row>
    <row r="456" ht="15.75" customHeight="1">
      <c r="I456" s="3"/>
      <c r="S456" s="3"/>
    </row>
    <row r="457" ht="15.75" customHeight="1">
      <c r="I457" s="3"/>
      <c r="S457" s="3"/>
    </row>
    <row r="458" ht="15.75" customHeight="1">
      <c r="I458" s="3"/>
      <c r="S458" s="3"/>
    </row>
    <row r="459" ht="15.75" customHeight="1">
      <c r="I459" s="3"/>
      <c r="S459" s="3"/>
    </row>
    <row r="460" ht="15.75" customHeight="1">
      <c r="I460" s="3"/>
      <c r="S460" s="3"/>
    </row>
    <row r="461" ht="15.75" customHeight="1">
      <c r="I461" s="3"/>
      <c r="S461" s="3"/>
    </row>
    <row r="462" ht="15.75" customHeight="1">
      <c r="I462" s="3"/>
      <c r="S462" s="3"/>
    </row>
    <row r="463" ht="15.75" customHeight="1">
      <c r="I463" s="3"/>
      <c r="S463" s="3"/>
    </row>
    <row r="464" ht="15.75" customHeight="1">
      <c r="I464" s="3"/>
      <c r="S464" s="3"/>
    </row>
    <row r="465" ht="15.75" customHeight="1">
      <c r="I465" s="3"/>
      <c r="S465" s="3"/>
    </row>
    <row r="466" ht="15.75" customHeight="1">
      <c r="I466" s="3"/>
      <c r="S466" s="3"/>
    </row>
    <row r="467" ht="15.75" customHeight="1">
      <c r="I467" s="3"/>
      <c r="S467" s="3"/>
    </row>
    <row r="468" ht="15.75" customHeight="1">
      <c r="I468" s="3"/>
      <c r="S468" s="3"/>
    </row>
    <row r="469" ht="15.75" customHeight="1">
      <c r="I469" s="3"/>
      <c r="S469" s="3"/>
    </row>
    <row r="470" ht="15.75" customHeight="1">
      <c r="I470" s="3"/>
      <c r="S470" s="3"/>
    </row>
    <row r="471" ht="15.75" customHeight="1">
      <c r="I471" s="3"/>
      <c r="S471" s="3"/>
    </row>
    <row r="472" ht="15.75" customHeight="1">
      <c r="I472" s="3"/>
      <c r="S472" s="3"/>
    </row>
    <row r="473" ht="15.75" customHeight="1">
      <c r="I473" s="3"/>
      <c r="S473" s="3"/>
    </row>
    <row r="474" ht="15.75" customHeight="1">
      <c r="I474" s="3"/>
      <c r="S474" s="3"/>
    </row>
    <row r="475" ht="15.75" customHeight="1">
      <c r="I475" s="3"/>
      <c r="S475" s="3"/>
    </row>
    <row r="476" ht="15.75" customHeight="1">
      <c r="I476" s="3"/>
      <c r="S476" s="3"/>
    </row>
    <row r="477" ht="15.75" customHeight="1">
      <c r="I477" s="3"/>
      <c r="S477" s="3"/>
    </row>
    <row r="478" ht="15.75" customHeight="1">
      <c r="I478" s="3"/>
      <c r="S478" s="3"/>
    </row>
    <row r="479" ht="15.75" customHeight="1">
      <c r="I479" s="3"/>
      <c r="S479" s="3"/>
    </row>
    <row r="480" ht="15.75" customHeight="1">
      <c r="I480" s="3"/>
      <c r="S480" s="3"/>
    </row>
    <row r="481" ht="15.75" customHeight="1">
      <c r="I481" s="3"/>
      <c r="S481" s="3"/>
    </row>
    <row r="482" ht="15.75" customHeight="1">
      <c r="I482" s="3"/>
      <c r="S482" s="3"/>
    </row>
    <row r="483" ht="15.75" customHeight="1">
      <c r="I483" s="3"/>
      <c r="S483" s="3"/>
    </row>
    <row r="484" ht="15.75" customHeight="1">
      <c r="I484" s="3"/>
      <c r="S484" s="3"/>
    </row>
    <row r="485" ht="15.75" customHeight="1">
      <c r="I485" s="3"/>
      <c r="S485" s="3"/>
    </row>
    <row r="486" ht="15.75" customHeight="1">
      <c r="I486" s="3"/>
      <c r="S486" s="3"/>
    </row>
    <row r="487" ht="15.75" customHeight="1">
      <c r="I487" s="3"/>
      <c r="S487" s="3"/>
    </row>
    <row r="488" ht="15.75" customHeight="1">
      <c r="I488" s="3"/>
      <c r="S488" s="3"/>
    </row>
    <row r="489" ht="15.75" customHeight="1">
      <c r="I489" s="3"/>
      <c r="S489" s="3"/>
    </row>
    <row r="490" ht="15.75" customHeight="1">
      <c r="I490" s="3"/>
      <c r="S490" s="3"/>
    </row>
    <row r="491" ht="15.75" customHeight="1">
      <c r="I491" s="3"/>
      <c r="S491" s="3"/>
    </row>
    <row r="492" ht="15.75" customHeight="1">
      <c r="I492" s="3"/>
      <c r="S492" s="3"/>
    </row>
    <row r="493" ht="15.75" customHeight="1">
      <c r="I493" s="3"/>
      <c r="S493" s="3"/>
    </row>
    <row r="494" ht="15.75" customHeight="1">
      <c r="I494" s="3"/>
      <c r="S494" s="3"/>
    </row>
    <row r="495" ht="15.75" customHeight="1">
      <c r="I495" s="3"/>
      <c r="S495" s="3"/>
    </row>
    <row r="496" ht="15.75" customHeight="1">
      <c r="I496" s="3"/>
      <c r="S496" s="3"/>
    </row>
    <row r="497" ht="15.75" customHeight="1">
      <c r="I497" s="3"/>
      <c r="S497" s="3"/>
    </row>
    <row r="498" ht="15.75" customHeight="1">
      <c r="I498" s="3"/>
      <c r="S498" s="3"/>
    </row>
    <row r="499" ht="15.75" customHeight="1">
      <c r="I499" s="3"/>
      <c r="S499" s="3"/>
    </row>
    <row r="500" ht="15.75" customHeight="1">
      <c r="I500" s="3"/>
      <c r="S500" s="3"/>
    </row>
    <row r="501" ht="15.75" customHeight="1">
      <c r="I501" s="3"/>
      <c r="S501" s="3"/>
    </row>
    <row r="502" ht="15.75" customHeight="1">
      <c r="I502" s="3"/>
      <c r="S502" s="3"/>
    </row>
    <row r="503" ht="15.75" customHeight="1">
      <c r="I503" s="3"/>
      <c r="S503" s="3"/>
    </row>
    <row r="504" ht="15.75" customHeight="1">
      <c r="I504" s="3"/>
      <c r="S504" s="3"/>
    </row>
    <row r="505" ht="15.75" customHeight="1">
      <c r="I505" s="3"/>
      <c r="S505" s="3"/>
    </row>
    <row r="506" ht="15.75" customHeight="1">
      <c r="I506" s="3"/>
      <c r="S506" s="3"/>
    </row>
    <row r="507" ht="15.75" customHeight="1">
      <c r="I507" s="3"/>
      <c r="S507" s="3"/>
    </row>
    <row r="508" ht="15.75" customHeight="1">
      <c r="I508" s="3"/>
      <c r="S508" s="3"/>
    </row>
    <row r="509" ht="15.75" customHeight="1">
      <c r="I509" s="3"/>
      <c r="S509" s="3"/>
    </row>
    <row r="510" ht="15.75" customHeight="1">
      <c r="I510" s="3"/>
      <c r="S510" s="3"/>
    </row>
    <row r="511" ht="15.75" customHeight="1">
      <c r="I511" s="3"/>
      <c r="S511" s="3"/>
    </row>
    <row r="512" ht="15.75" customHeight="1">
      <c r="I512" s="3"/>
      <c r="S512" s="3"/>
    </row>
    <row r="513" ht="15.75" customHeight="1">
      <c r="I513" s="3"/>
      <c r="S513" s="3"/>
    </row>
    <row r="514" ht="15.75" customHeight="1">
      <c r="I514" s="3"/>
      <c r="S514" s="3"/>
    </row>
    <row r="515" ht="15.75" customHeight="1">
      <c r="I515" s="3"/>
      <c r="S515" s="3"/>
    </row>
    <row r="516" ht="15.75" customHeight="1">
      <c r="I516" s="3"/>
      <c r="S516" s="3"/>
    </row>
    <row r="517" ht="15.75" customHeight="1">
      <c r="I517" s="3"/>
      <c r="S517" s="3"/>
    </row>
    <row r="518" ht="15.75" customHeight="1">
      <c r="I518" s="3"/>
      <c r="S518" s="3"/>
    </row>
    <row r="519" ht="15.75" customHeight="1">
      <c r="I519" s="3"/>
      <c r="S519" s="3"/>
    </row>
    <row r="520" ht="15.75" customHeight="1">
      <c r="I520" s="3"/>
      <c r="S520" s="3"/>
    </row>
    <row r="521" ht="15.75" customHeight="1">
      <c r="I521" s="3"/>
      <c r="S521" s="3"/>
    </row>
    <row r="522" ht="15.75" customHeight="1">
      <c r="I522" s="3"/>
      <c r="S522" s="3"/>
    </row>
    <row r="523" ht="15.75" customHeight="1">
      <c r="I523" s="3"/>
      <c r="S523" s="3"/>
    </row>
    <row r="524" ht="15.75" customHeight="1">
      <c r="I524" s="3"/>
      <c r="S524" s="3"/>
    </row>
    <row r="525" ht="15.75" customHeight="1">
      <c r="I525" s="3"/>
      <c r="S525" s="3"/>
    </row>
    <row r="526" ht="15.75" customHeight="1">
      <c r="I526" s="3"/>
      <c r="S526" s="3"/>
    </row>
    <row r="527" ht="15.75" customHeight="1">
      <c r="I527" s="3"/>
      <c r="S527" s="3"/>
    </row>
    <row r="528" ht="15.75" customHeight="1">
      <c r="I528" s="3"/>
      <c r="S528" s="3"/>
    </row>
    <row r="529" ht="15.75" customHeight="1">
      <c r="I529" s="3"/>
      <c r="S529" s="3"/>
    </row>
    <row r="530" ht="15.75" customHeight="1">
      <c r="I530" s="3"/>
      <c r="S530" s="3"/>
    </row>
    <row r="531" ht="15.75" customHeight="1">
      <c r="I531" s="3"/>
      <c r="S531" s="3"/>
    </row>
    <row r="532" ht="15.75" customHeight="1">
      <c r="I532" s="3"/>
      <c r="S532" s="3"/>
    </row>
    <row r="533" ht="15.75" customHeight="1">
      <c r="I533" s="3"/>
      <c r="S533" s="3"/>
    </row>
    <row r="534" ht="15.75" customHeight="1">
      <c r="I534" s="3"/>
      <c r="S534" s="3"/>
    </row>
    <row r="535" ht="15.75" customHeight="1">
      <c r="I535" s="3"/>
      <c r="S535" s="3"/>
    </row>
    <row r="536" ht="15.75" customHeight="1">
      <c r="I536" s="3"/>
      <c r="S536" s="3"/>
    </row>
    <row r="537" ht="15.75" customHeight="1">
      <c r="I537" s="3"/>
      <c r="S537" s="3"/>
    </row>
    <row r="538" ht="15.75" customHeight="1">
      <c r="I538" s="3"/>
      <c r="S538" s="3"/>
    </row>
    <row r="539" ht="15.75" customHeight="1">
      <c r="I539" s="3"/>
      <c r="S539" s="3"/>
    </row>
    <row r="540" ht="15.75" customHeight="1">
      <c r="I540" s="3"/>
      <c r="S540" s="3"/>
    </row>
    <row r="541" ht="15.75" customHeight="1">
      <c r="I541" s="3"/>
      <c r="S541" s="3"/>
    </row>
    <row r="542" ht="15.75" customHeight="1">
      <c r="I542" s="3"/>
      <c r="S542" s="3"/>
    </row>
    <row r="543" ht="15.75" customHeight="1">
      <c r="I543" s="3"/>
      <c r="S543" s="3"/>
    </row>
    <row r="544" ht="15.75" customHeight="1">
      <c r="I544" s="3"/>
      <c r="S544" s="3"/>
    </row>
    <row r="545" ht="15.75" customHeight="1">
      <c r="I545" s="3"/>
      <c r="S545" s="3"/>
    </row>
    <row r="546" ht="15.75" customHeight="1">
      <c r="I546" s="3"/>
      <c r="S546" s="3"/>
    </row>
    <row r="547" ht="15.75" customHeight="1">
      <c r="I547" s="3"/>
      <c r="S547" s="3"/>
    </row>
    <row r="548" ht="15.75" customHeight="1">
      <c r="I548" s="3"/>
      <c r="S548" s="3"/>
    </row>
    <row r="549" ht="15.75" customHeight="1">
      <c r="I549" s="3"/>
      <c r="S549" s="3"/>
    </row>
    <row r="550" ht="15.75" customHeight="1">
      <c r="I550" s="3"/>
      <c r="S550" s="3"/>
    </row>
    <row r="551" ht="15.75" customHeight="1">
      <c r="I551" s="3"/>
      <c r="S551" s="3"/>
    </row>
    <row r="552" ht="15.75" customHeight="1">
      <c r="I552" s="3"/>
      <c r="S552" s="3"/>
    </row>
    <row r="553" ht="15.75" customHeight="1">
      <c r="I553" s="3"/>
      <c r="S553" s="3"/>
    </row>
    <row r="554" ht="15.75" customHeight="1">
      <c r="I554" s="3"/>
      <c r="S554" s="3"/>
    </row>
    <row r="555" ht="15.75" customHeight="1">
      <c r="I555" s="3"/>
      <c r="S555" s="3"/>
    </row>
    <row r="556" ht="15.75" customHeight="1">
      <c r="I556" s="3"/>
      <c r="S556" s="3"/>
    </row>
    <row r="557" ht="15.75" customHeight="1">
      <c r="I557" s="3"/>
      <c r="S557" s="3"/>
    </row>
    <row r="558" ht="15.75" customHeight="1">
      <c r="I558" s="3"/>
      <c r="S558" s="3"/>
    </row>
    <row r="559" ht="15.75" customHeight="1">
      <c r="I559" s="3"/>
      <c r="S559" s="3"/>
    </row>
    <row r="560" ht="15.75" customHeight="1">
      <c r="I560" s="3"/>
      <c r="S560" s="3"/>
    </row>
    <row r="561" ht="15.75" customHeight="1">
      <c r="I561" s="3"/>
      <c r="S561" s="3"/>
    </row>
    <row r="562" ht="15.75" customHeight="1">
      <c r="I562" s="3"/>
      <c r="S562" s="3"/>
    </row>
    <row r="563" ht="15.75" customHeight="1">
      <c r="I563" s="3"/>
      <c r="S563" s="3"/>
    </row>
    <row r="564" ht="15.75" customHeight="1">
      <c r="I564" s="3"/>
      <c r="S564" s="3"/>
    </row>
    <row r="565" ht="15.75" customHeight="1">
      <c r="I565" s="3"/>
      <c r="S565" s="3"/>
    </row>
    <row r="566" ht="15.75" customHeight="1">
      <c r="I566" s="3"/>
      <c r="S566" s="3"/>
    </row>
    <row r="567" ht="15.75" customHeight="1">
      <c r="I567" s="3"/>
      <c r="S567" s="3"/>
    </row>
    <row r="568" ht="15.75" customHeight="1">
      <c r="I568" s="3"/>
      <c r="S568" s="3"/>
    </row>
    <row r="569" ht="15.75" customHeight="1">
      <c r="I569" s="3"/>
      <c r="S569" s="3"/>
    </row>
    <row r="570" ht="15.75" customHeight="1">
      <c r="I570" s="3"/>
      <c r="S570" s="3"/>
    </row>
    <row r="571" ht="15.75" customHeight="1">
      <c r="I571" s="3"/>
      <c r="S571" s="3"/>
    </row>
    <row r="572" ht="15.75" customHeight="1">
      <c r="I572" s="3"/>
      <c r="S572" s="3"/>
    </row>
    <row r="573" ht="15.75" customHeight="1">
      <c r="I573" s="3"/>
      <c r="S573" s="3"/>
    </row>
    <row r="574" ht="15.75" customHeight="1">
      <c r="I574" s="3"/>
      <c r="S574" s="3"/>
    </row>
    <row r="575" ht="15.75" customHeight="1">
      <c r="I575" s="3"/>
      <c r="S575" s="3"/>
    </row>
    <row r="576" ht="15.75" customHeight="1">
      <c r="I576" s="3"/>
      <c r="S576" s="3"/>
    </row>
    <row r="577" ht="15.75" customHeight="1">
      <c r="I577" s="3"/>
      <c r="S577" s="3"/>
    </row>
    <row r="578" ht="15.75" customHeight="1">
      <c r="I578" s="3"/>
      <c r="S578" s="3"/>
    </row>
    <row r="579" ht="15.75" customHeight="1">
      <c r="I579" s="3"/>
      <c r="S579" s="3"/>
    </row>
    <row r="580" ht="15.75" customHeight="1">
      <c r="I580" s="3"/>
      <c r="S580" s="3"/>
    </row>
    <row r="581" ht="15.75" customHeight="1">
      <c r="I581" s="3"/>
      <c r="S581" s="3"/>
    </row>
    <row r="582" ht="15.75" customHeight="1">
      <c r="I582" s="3"/>
      <c r="S582" s="3"/>
    </row>
    <row r="583" ht="15.75" customHeight="1">
      <c r="I583" s="3"/>
      <c r="S583" s="3"/>
    </row>
    <row r="584" ht="15.75" customHeight="1">
      <c r="I584" s="3"/>
      <c r="S584" s="3"/>
    </row>
    <row r="585" ht="15.75" customHeight="1">
      <c r="I585" s="3"/>
      <c r="S585" s="3"/>
    </row>
    <row r="586" ht="15.75" customHeight="1">
      <c r="I586" s="3"/>
      <c r="S586" s="3"/>
    </row>
    <row r="587" ht="15.75" customHeight="1">
      <c r="I587" s="3"/>
      <c r="S587" s="3"/>
    </row>
    <row r="588" ht="15.75" customHeight="1">
      <c r="I588" s="3"/>
      <c r="S588" s="3"/>
    </row>
    <row r="589" ht="15.75" customHeight="1">
      <c r="I589" s="3"/>
      <c r="S589" s="3"/>
    </row>
    <row r="590" ht="15.75" customHeight="1">
      <c r="I590" s="3"/>
      <c r="S590" s="3"/>
    </row>
    <row r="591" ht="15.75" customHeight="1">
      <c r="I591" s="3"/>
      <c r="S591" s="3"/>
    </row>
    <row r="592" ht="15.75" customHeight="1">
      <c r="I592" s="3"/>
      <c r="S592" s="3"/>
    </row>
    <row r="593" ht="15.75" customHeight="1">
      <c r="I593" s="3"/>
      <c r="S593" s="3"/>
    </row>
    <row r="594" ht="15.75" customHeight="1">
      <c r="I594" s="3"/>
      <c r="S594" s="3"/>
    </row>
    <row r="595" ht="15.75" customHeight="1">
      <c r="I595" s="3"/>
      <c r="S595" s="3"/>
    </row>
    <row r="596" ht="15.75" customHeight="1">
      <c r="I596" s="3"/>
      <c r="S596" s="3"/>
    </row>
    <row r="597" ht="15.75" customHeight="1">
      <c r="I597" s="3"/>
      <c r="S597" s="3"/>
    </row>
    <row r="598" ht="15.75" customHeight="1">
      <c r="I598" s="3"/>
      <c r="S598" s="3"/>
    </row>
    <row r="599" ht="15.75" customHeight="1">
      <c r="I599" s="3"/>
      <c r="S599" s="3"/>
    </row>
    <row r="600" ht="15.75" customHeight="1">
      <c r="I600" s="3"/>
      <c r="S600" s="3"/>
    </row>
    <row r="601" ht="15.75" customHeight="1">
      <c r="I601" s="3"/>
      <c r="S601" s="3"/>
    </row>
    <row r="602" ht="15.75" customHeight="1">
      <c r="I602" s="3"/>
      <c r="S602" s="3"/>
    </row>
    <row r="603" ht="15.75" customHeight="1">
      <c r="I603" s="3"/>
      <c r="S603" s="3"/>
    </row>
    <row r="604" ht="15.75" customHeight="1">
      <c r="I604" s="3"/>
      <c r="S604" s="3"/>
    </row>
    <row r="605" ht="15.75" customHeight="1">
      <c r="I605" s="3"/>
      <c r="S605" s="3"/>
    </row>
    <row r="606" ht="15.75" customHeight="1">
      <c r="I606" s="3"/>
      <c r="S606" s="3"/>
    </row>
    <row r="607" ht="15.75" customHeight="1">
      <c r="I607" s="3"/>
      <c r="S607" s="3"/>
    </row>
    <row r="608" ht="15.75" customHeight="1">
      <c r="I608" s="3"/>
      <c r="S608" s="3"/>
    </row>
    <row r="609" ht="15.75" customHeight="1">
      <c r="I609" s="3"/>
      <c r="S609" s="3"/>
    </row>
    <row r="610" ht="15.75" customHeight="1">
      <c r="I610" s="3"/>
      <c r="S610" s="3"/>
    </row>
    <row r="611" ht="15.75" customHeight="1">
      <c r="I611" s="3"/>
      <c r="S611" s="3"/>
    </row>
    <row r="612" ht="15.75" customHeight="1">
      <c r="I612" s="3"/>
      <c r="S612" s="3"/>
    </row>
    <row r="613" ht="15.75" customHeight="1">
      <c r="I613" s="3"/>
      <c r="S613" s="3"/>
    </row>
    <row r="614" ht="15.75" customHeight="1">
      <c r="I614" s="3"/>
      <c r="S614" s="3"/>
    </row>
    <row r="615" ht="15.75" customHeight="1">
      <c r="I615" s="3"/>
      <c r="S615" s="3"/>
    </row>
    <row r="616" ht="15.75" customHeight="1">
      <c r="I616" s="3"/>
      <c r="S616" s="3"/>
    </row>
    <row r="617" ht="15.75" customHeight="1">
      <c r="I617" s="3"/>
      <c r="S617" s="3"/>
    </row>
    <row r="618" ht="15.75" customHeight="1">
      <c r="I618" s="3"/>
      <c r="S618" s="3"/>
    </row>
    <row r="619" ht="15.75" customHeight="1">
      <c r="I619" s="3"/>
      <c r="S619" s="3"/>
    </row>
    <row r="620" ht="15.75" customHeight="1">
      <c r="I620" s="3"/>
      <c r="S620" s="3"/>
    </row>
    <row r="621" ht="15.75" customHeight="1">
      <c r="I621" s="3"/>
      <c r="S621" s="3"/>
    </row>
    <row r="622" ht="15.75" customHeight="1">
      <c r="I622" s="3"/>
      <c r="S622" s="3"/>
    </row>
    <row r="623" ht="15.75" customHeight="1">
      <c r="I623" s="3"/>
      <c r="S623" s="3"/>
    </row>
    <row r="624" ht="15.75" customHeight="1">
      <c r="I624" s="3"/>
      <c r="S624" s="3"/>
    </row>
    <row r="625" ht="15.75" customHeight="1">
      <c r="I625" s="3"/>
      <c r="S625" s="3"/>
    </row>
    <row r="626" ht="15.75" customHeight="1">
      <c r="I626" s="3"/>
      <c r="S626" s="3"/>
    </row>
    <row r="627" ht="15.75" customHeight="1">
      <c r="I627" s="3"/>
      <c r="S627" s="3"/>
    </row>
    <row r="628" ht="15.75" customHeight="1">
      <c r="I628" s="3"/>
      <c r="S628" s="3"/>
    </row>
    <row r="629" ht="15.75" customHeight="1">
      <c r="I629" s="3"/>
      <c r="S629" s="3"/>
    </row>
    <row r="630" ht="15.75" customHeight="1">
      <c r="I630" s="3"/>
      <c r="S630" s="3"/>
    </row>
    <row r="631" ht="15.75" customHeight="1">
      <c r="I631" s="3"/>
      <c r="S631" s="3"/>
    </row>
    <row r="632" ht="15.75" customHeight="1">
      <c r="I632" s="3"/>
      <c r="S632" s="3"/>
    </row>
    <row r="633" ht="15.75" customHeight="1">
      <c r="I633" s="3"/>
      <c r="S633" s="3"/>
    </row>
    <row r="634" ht="15.75" customHeight="1">
      <c r="I634" s="3"/>
      <c r="S634" s="3"/>
    </row>
    <row r="635" ht="15.75" customHeight="1">
      <c r="I635" s="3"/>
      <c r="S635" s="3"/>
    </row>
    <row r="636" ht="15.75" customHeight="1">
      <c r="I636" s="3"/>
      <c r="S636" s="3"/>
    </row>
    <row r="637" ht="15.75" customHeight="1">
      <c r="I637" s="3"/>
      <c r="S637" s="3"/>
    </row>
    <row r="638" ht="15.75" customHeight="1">
      <c r="I638" s="3"/>
      <c r="S638" s="3"/>
    </row>
    <row r="639" ht="15.75" customHeight="1">
      <c r="I639" s="3"/>
      <c r="S639" s="3"/>
    </row>
    <row r="640" ht="15.75" customHeight="1">
      <c r="I640" s="3"/>
      <c r="S640" s="3"/>
    </row>
    <row r="641" ht="15.75" customHeight="1">
      <c r="I641" s="3"/>
      <c r="S641" s="3"/>
    </row>
    <row r="642" ht="15.75" customHeight="1">
      <c r="I642" s="3"/>
      <c r="S642" s="3"/>
    </row>
    <row r="643" ht="15.75" customHeight="1">
      <c r="I643" s="3"/>
      <c r="S643" s="3"/>
    </row>
    <row r="644" ht="15.75" customHeight="1">
      <c r="I644" s="3"/>
      <c r="S644" s="3"/>
    </row>
    <row r="645" ht="15.75" customHeight="1">
      <c r="I645" s="3"/>
      <c r="S645" s="3"/>
    </row>
    <row r="646" ht="15.75" customHeight="1">
      <c r="I646" s="3"/>
      <c r="S646" s="3"/>
    </row>
    <row r="647" ht="15.75" customHeight="1">
      <c r="I647" s="3"/>
      <c r="S647" s="3"/>
    </row>
    <row r="648" ht="15.75" customHeight="1">
      <c r="I648" s="3"/>
      <c r="S648" s="3"/>
    </row>
    <row r="649" ht="15.75" customHeight="1">
      <c r="I649" s="3"/>
      <c r="S649" s="3"/>
    </row>
    <row r="650" ht="15.75" customHeight="1">
      <c r="I650" s="3"/>
      <c r="S650" s="3"/>
    </row>
    <row r="651" ht="15.75" customHeight="1">
      <c r="I651" s="3"/>
      <c r="S651" s="3"/>
    </row>
    <row r="652" ht="15.75" customHeight="1">
      <c r="I652" s="3"/>
      <c r="S652" s="3"/>
    </row>
    <row r="653" ht="15.75" customHeight="1">
      <c r="I653" s="3"/>
      <c r="S653" s="3"/>
    </row>
    <row r="654" ht="15.75" customHeight="1">
      <c r="I654" s="3"/>
      <c r="S654" s="3"/>
    </row>
    <row r="655" ht="15.75" customHeight="1">
      <c r="I655" s="3"/>
      <c r="S655" s="3"/>
    </row>
    <row r="656" ht="15.75" customHeight="1">
      <c r="I656" s="3"/>
      <c r="S656" s="3"/>
    </row>
    <row r="657" ht="15.75" customHeight="1">
      <c r="I657" s="3"/>
      <c r="S657" s="3"/>
    </row>
    <row r="658" ht="15.75" customHeight="1">
      <c r="I658" s="3"/>
      <c r="S658" s="3"/>
    </row>
    <row r="659" ht="15.75" customHeight="1">
      <c r="I659" s="3"/>
      <c r="S659" s="3"/>
    </row>
    <row r="660" ht="15.75" customHeight="1">
      <c r="I660" s="3"/>
      <c r="S660" s="3"/>
    </row>
    <row r="661" ht="15.75" customHeight="1">
      <c r="I661" s="3"/>
      <c r="S661" s="3"/>
    </row>
    <row r="662" ht="15.75" customHeight="1">
      <c r="I662" s="3"/>
      <c r="S662" s="3"/>
    </row>
    <row r="663" ht="15.75" customHeight="1">
      <c r="I663" s="3"/>
      <c r="S663" s="3"/>
    </row>
    <row r="664" ht="15.75" customHeight="1">
      <c r="I664" s="3"/>
      <c r="S664" s="3"/>
    </row>
    <row r="665" ht="15.75" customHeight="1">
      <c r="I665" s="3"/>
      <c r="S665" s="3"/>
    </row>
    <row r="666" ht="15.75" customHeight="1">
      <c r="I666" s="3"/>
      <c r="S666" s="3"/>
    </row>
    <row r="667" ht="15.75" customHeight="1">
      <c r="I667" s="3"/>
      <c r="S667" s="3"/>
    </row>
    <row r="668" ht="15.75" customHeight="1">
      <c r="I668" s="3"/>
      <c r="S668" s="3"/>
    </row>
    <row r="669" ht="15.75" customHeight="1">
      <c r="I669" s="3"/>
      <c r="S669" s="3"/>
    </row>
    <row r="670" ht="15.75" customHeight="1">
      <c r="I670" s="3"/>
      <c r="S670" s="3"/>
    </row>
    <row r="671" ht="15.75" customHeight="1">
      <c r="I671" s="3"/>
      <c r="S671" s="3"/>
    </row>
    <row r="672" ht="15.75" customHeight="1">
      <c r="I672" s="3"/>
      <c r="S672" s="3"/>
    </row>
    <row r="673" ht="15.75" customHeight="1">
      <c r="I673" s="3"/>
      <c r="S673" s="3"/>
    </row>
    <row r="674" ht="15.75" customHeight="1">
      <c r="I674" s="3"/>
      <c r="S674" s="3"/>
    </row>
    <row r="675" ht="15.75" customHeight="1">
      <c r="I675" s="3"/>
      <c r="S675" s="3"/>
    </row>
    <row r="676" ht="15.75" customHeight="1">
      <c r="I676" s="3"/>
      <c r="S676" s="3"/>
    </row>
    <row r="677" ht="15.75" customHeight="1">
      <c r="I677" s="3"/>
      <c r="S677" s="3"/>
    </row>
    <row r="678" ht="15.75" customHeight="1">
      <c r="I678" s="3"/>
      <c r="S678" s="3"/>
    </row>
    <row r="679" ht="15.75" customHeight="1">
      <c r="I679" s="3"/>
      <c r="S679" s="3"/>
    </row>
    <row r="680" ht="15.75" customHeight="1">
      <c r="I680" s="3"/>
      <c r="S680" s="3"/>
    </row>
    <row r="681" ht="15.75" customHeight="1">
      <c r="I681" s="3"/>
      <c r="S681" s="3"/>
    </row>
    <row r="682" ht="15.75" customHeight="1">
      <c r="I682" s="3"/>
      <c r="S682" s="3"/>
    </row>
    <row r="683" ht="15.75" customHeight="1">
      <c r="I683" s="3"/>
      <c r="S683" s="3"/>
    </row>
    <row r="684" ht="15.75" customHeight="1">
      <c r="I684" s="3"/>
      <c r="S684" s="3"/>
    </row>
    <row r="685" ht="15.75" customHeight="1">
      <c r="I685" s="3"/>
      <c r="S685" s="3"/>
    </row>
    <row r="686" ht="15.75" customHeight="1">
      <c r="I686" s="3"/>
      <c r="S686" s="3"/>
    </row>
    <row r="687" ht="15.75" customHeight="1">
      <c r="I687" s="3"/>
      <c r="S687" s="3"/>
    </row>
    <row r="688" ht="15.75" customHeight="1">
      <c r="I688" s="3"/>
      <c r="S688" s="3"/>
    </row>
    <row r="689" ht="15.75" customHeight="1">
      <c r="I689" s="3"/>
      <c r="S689" s="3"/>
    </row>
    <row r="690" ht="15.75" customHeight="1">
      <c r="I690" s="3"/>
      <c r="S690" s="3"/>
    </row>
    <row r="691" ht="15.75" customHeight="1">
      <c r="I691" s="3"/>
      <c r="S691" s="3"/>
    </row>
    <row r="692" ht="15.75" customHeight="1">
      <c r="I692" s="3"/>
      <c r="S692" s="3"/>
    </row>
    <row r="693" ht="15.75" customHeight="1">
      <c r="I693" s="3"/>
      <c r="S693" s="3"/>
    </row>
    <row r="694" ht="15.75" customHeight="1">
      <c r="I694" s="3"/>
      <c r="S694" s="3"/>
    </row>
    <row r="695" ht="15.75" customHeight="1">
      <c r="I695" s="3"/>
      <c r="S695" s="3"/>
    </row>
    <row r="696" ht="15.75" customHeight="1">
      <c r="I696" s="3"/>
      <c r="S696" s="3"/>
    </row>
    <row r="697" ht="15.75" customHeight="1">
      <c r="I697" s="3"/>
      <c r="S697" s="3"/>
    </row>
    <row r="698" ht="15.75" customHeight="1">
      <c r="I698" s="3"/>
      <c r="S698" s="3"/>
    </row>
    <row r="699" ht="15.75" customHeight="1">
      <c r="I699" s="3"/>
      <c r="S699" s="3"/>
    </row>
    <row r="700" ht="15.75" customHeight="1">
      <c r="I700" s="3"/>
      <c r="S700" s="3"/>
    </row>
    <row r="701" ht="15.75" customHeight="1">
      <c r="I701" s="3"/>
      <c r="S701" s="3"/>
    </row>
    <row r="702" ht="15.75" customHeight="1">
      <c r="I702" s="3"/>
      <c r="S702" s="3"/>
    </row>
    <row r="703" ht="15.75" customHeight="1">
      <c r="I703" s="3"/>
      <c r="S703" s="3"/>
    </row>
    <row r="704" ht="15.75" customHeight="1">
      <c r="I704" s="3"/>
      <c r="S704" s="3"/>
    </row>
    <row r="705" ht="15.75" customHeight="1">
      <c r="I705" s="3"/>
      <c r="S705" s="3"/>
    </row>
    <row r="706" ht="15.75" customHeight="1">
      <c r="I706" s="3"/>
      <c r="S706" s="3"/>
    </row>
    <row r="707" ht="15.75" customHeight="1">
      <c r="I707" s="3"/>
      <c r="S707" s="3"/>
    </row>
    <row r="708" ht="15.75" customHeight="1">
      <c r="I708" s="3"/>
      <c r="S708" s="3"/>
    </row>
    <row r="709" ht="15.75" customHeight="1">
      <c r="I709" s="3"/>
      <c r="S709" s="3"/>
    </row>
    <row r="710" ht="15.75" customHeight="1">
      <c r="I710" s="3"/>
      <c r="S710" s="3"/>
    </row>
    <row r="711" ht="15.75" customHeight="1">
      <c r="I711" s="3"/>
      <c r="S711" s="3"/>
    </row>
    <row r="712" ht="15.75" customHeight="1">
      <c r="I712" s="3"/>
      <c r="S712" s="3"/>
    </row>
    <row r="713" ht="15.75" customHeight="1">
      <c r="I713" s="3"/>
      <c r="S713" s="3"/>
    </row>
    <row r="714" ht="15.75" customHeight="1">
      <c r="I714" s="3"/>
      <c r="S714" s="3"/>
    </row>
    <row r="715" ht="15.75" customHeight="1">
      <c r="I715" s="3"/>
      <c r="S715" s="3"/>
    </row>
    <row r="716" ht="15.75" customHeight="1">
      <c r="I716" s="3"/>
      <c r="S716" s="3"/>
    </row>
    <row r="717" ht="15.75" customHeight="1">
      <c r="I717" s="3"/>
      <c r="S717" s="3"/>
    </row>
    <row r="718" ht="15.75" customHeight="1">
      <c r="I718" s="3"/>
      <c r="S718" s="3"/>
    </row>
    <row r="719" ht="15.75" customHeight="1">
      <c r="I719" s="3"/>
      <c r="S719" s="3"/>
    </row>
    <row r="720" ht="15.75" customHeight="1">
      <c r="I720" s="3"/>
      <c r="S720" s="3"/>
    </row>
    <row r="721" ht="15.75" customHeight="1">
      <c r="I721" s="3"/>
      <c r="S721" s="3"/>
    </row>
    <row r="722" ht="15.75" customHeight="1">
      <c r="I722" s="3"/>
      <c r="S722" s="3"/>
    </row>
    <row r="723" ht="15.75" customHeight="1">
      <c r="I723" s="3"/>
      <c r="S723" s="3"/>
    </row>
    <row r="724" ht="15.75" customHeight="1">
      <c r="I724" s="3"/>
      <c r="S724" s="3"/>
    </row>
    <row r="725" ht="15.75" customHeight="1">
      <c r="I725" s="3"/>
      <c r="S725" s="3"/>
    </row>
    <row r="726" ht="15.75" customHeight="1">
      <c r="I726" s="3"/>
      <c r="S726" s="3"/>
    </row>
    <row r="727" ht="15.75" customHeight="1">
      <c r="I727" s="3"/>
      <c r="S727" s="3"/>
    </row>
    <row r="728" ht="15.75" customHeight="1">
      <c r="I728" s="3"/>
      <c r="S728" s="3"/>
    </row>
    <row r="729" ht="15.75" customHeight="1">
      <c r="I729" s="3"/>
      <c r="S729" s="3"/>
    </row>
    <row r="730" ht="15.75" customHeight="1">
      <c r="I730" s="3"/>
      <c r="S730" s="3"/>
    </row>
    <row r="731" ht="15.75" customHeight="1">
      <c r="I731" s="3"/>
      <c r="S731" s="3"/>
    </row>
    <row r="732" ht="15.75" customHeight="1">
      <c r="I732" s="3"/>
      <c r="S732" s="3"/>
    </row>
    <row r="733" ht="15.75" customHeight="1">
      <c r="I733" s="3"/>
      <c r="S733" s="3"/>
    </row>
    <row r="734" ht="15.75" customHeight="1">
      <c r="I734" s="3"/>
      <c r="S734" s="3"/>
    </row>
    <row r="735" ht="15.75" customHeight="1">
      <c r="I735" s="3"/>
      <c r="S735" s="3"/>
    </row>
    <row r="736" ht="15.75" customHeight="1">
      <c r="I736" s="3"/>
      <c r="S736" s="3"/>
    </row>
    <row r="737" ht="15.75" customHeight="1">
      <c r="I737" s="3"/>
      <c r="S737" s="3"/>
    </row>
    <row r="738" ht="15.75" customHeight="1">
      <c r="I738" s="3"/>
      <c r="S738" s="3"/>
    </row>
    <row r="739" ht="15.75" customHeight="1">
      <c r="I739" s="3"/>
      <c r="S739" s="3"/>
    </row>
    <row r="740" ht="15.75" customHeight="1">
      <c r="I740" s="3"/>
      <c r="S740" s="3"/>
    </row>
    <row r="741" ht="15.75" customHeight="1">
      <c r="I741" s="3"/>
      <c r="S741" s="3"/>
    </row>
    <row r="742" ht="15.75" customHeight="1">
      <c r="I742" s="3"/>
      <c r="S742" s="3"/>
    </row>
    <row r="743" ht="15.75" customHeight="1">
      <c r="I743" s="3"/>
      <c r="S743" s="3"/>
    </row>
    <row r="744" ht="15.75" customHeight="1">
      <c r="I744" s="3"/>
      <c r="S744" s="3"/>
    </row>
    <row r="745" ht="15.75" customHeight="1">
      <c r="I745" s="3"/>
      <c r="S745" s="3"/>
    </row>
    <row r="746" ht="15.75" customHeight="1">
      <c r="I746" s="3"/>
      <c r="S746" s="3"/>
    </row>
    <row r="747" ht="15.75" customHeight="1">
      <c r="I747" s="3"/>
      <c r="S747" s="3"/>
    </row>
    <row r="748" ht="15.75" customHeight="1">
      <c r="I748" s="3"/>
      <c r="S748" s="3"/>
    </row>
    <row r="749" ht="15.75" customHeight="1">
      <c r="I749" s="3"/>
      <c r="S749" s="3"/>
    </row>
    <row r="750" ht="15.75" customHeight="1">
      <c r="I750" s="3"/>
      <c r="S750" s="3"/>
    </row>
    <row r="751" ht="15.75" customHeight="1">
      <c r="I751" s="3"/>
      <c r="S751" s="3"/>
    </row>
    <row r="752" ht="15.75" customHeight="1">
      <c r="I752" s="3"/>
      <c r="S752" s="3"/>
    </row>
    <row r="753" ht="15.75" customHeight="1">
      <c r="I753" s="3"/>
      <c r="S753" s="3"/>
    </row>
    <row r="754" ht="15.75" customHeight="1">
      <c r="I754" s="3"/>
      <c r="S754" s="3"/>
    </row>
    <row r="755" ht="15.75" customHeight="1">
      <c r="I755" s="3"/>
      <c r="S755" s="3"/>
    </row>
    <row r="756" ht="15.75" customHeight="1">
      <c r="I756" s="3"/>
      <c r="S756" s="3"/>
    </row>
    <row r="757" ht="15.75" customHeight="1">
      <c r="I757" s="3"/>
      <c r="S757" s="3"/>
    </row>
    <row r="758" ht="15.75" customHeight="1">
      <c r="I758" s="3"/>
      <c r="S758" s="3"/>
    </row>
    <row r="759" ht="15.75" customHeight="1">
      <c r="I759" s="3"/>
      <c r="S759" s="3"/>
    </row>
    <row r="760" ht="15.75" customHeight="1">
      <c r="I760" s="3"/>
      <c r="S760" s="3"/>
    </row>
    <row r="761" ht="15.75" customHeight="1">
      <c r="I761" s="3"/>
      <c r="S761" s="3"/>
    </row>
    <row r="762" ht="15.75" customHeight="1">
      <c r="I762" s="3"/>
      <c r="S762" s="3"/>
    </row>
    <row r="763" ht="15.75" customHeight="1">
      <c r="I763" s="3"/>
      <c r="S763" s="3"/>
    </row>
    <row r="764" ht="15.75" customHeight="1">
      <c r="I764" s="3"/>
      <c r="S764" s="3"/>
    </row>
    <row r="765" ht="15.75" customHeight="1">
      <c r="I765" s="3"/>
      <c r="S765" s="3"/>
    </row>
    <row r="766" ht="15.75" customHeight="1">
      <c r="I766" s="3"/>
      <c r="S766" s="3"/>
    </row>
    <row r="767" ht="15.75" customHeight="1">
      <c r="I767" s="3"/>
      <c r="S767" s="3"/>
    </row>
    <row r="768" ht="15.75" customHeight="1">
      <c r="I768" s="3"/>
      <c r="S768" s="3"/>
    </row>
    <row r="769" ht="15.75" customHeight="1">
      <c r="I769" s="3"/>
      <c r="S769" s="3"/>
    </row>
    <row r="770" ht="15.75" customHeight="1">
      <c r="I770" s="3"/>
      <c r="S770" s="3"/>
    </row>
    <row r="771" ht="15.75" customHeight="1">
      <c r="I771" s="3"/>
      <c r="S771" s="3"/>
    </row>
    <row r="772" ht="15.75" customHeight="1">
      <c r="I772" s="3"/>
      <c r="S772" s="3"/>
    </row>
    <row r="773" ht="15.75" customHeight="1">
      <c r="I773" s="3"/>
      <c r="S773" s="3"/>
    </row>
    <row r="774" ht="15.75" customHeight="1">
      <c r="I774" s="3"/>
      <c r="S774" s="3"/>
    </row>
    <row r="775" ht="15.75" customHeight="1">
      <c r="I775" s="3"/>
      <c r="S775" s="3"/>
    </row>
    <row r="776" ht="15.75" customHeight="1">
      <c r="I776" s="3"/>
      <c r="S776" s="3"/>
    </row>
    <row r="777" ht="15.75" customHeight="1">
      <c r="I777" s="3"/>
      <c r="S777" s="3"/>
    </row>
    <row r="778" ht="15.75" customHeight="1">
      <c r="I778" s="3"/>
      <c r="S778" s="3"/>
    </row>
    <row r="779" ht="15.75" customHeight="1">
      <c r="I779" s="3"/>
      <c r="S779" s="3"/>
    </row>
    <row r="780" ht="15.75" customHeight="1">
      <c r="I780" s="3"/>
      <c r="S780" s="3"/>
    </row>
    <row r="781" ht="15.75" customHeight="1">
      <c r="I781" s="3"/>
      <c r="S781" s="3"/>
    </row>
    <row r="782" ht="15.75" customHeight="1">
      <c r="I782" s="3"/>
      <c r="S782" s="3"/>
    </row>
    <row r="783" ht="15.75" customHeight="1">
      <c r="I783" s="3"/>
      <c r="S783" s="3"/>
    </row>
    <row r="784" ht="15.75" customHeight="1">
      <c r="I784" s="3"/>
      <c r="S784" s="3"/>
    </row>
    <row r="785" ht="15.75" customHeight="1">
      <c r="I785" s="3"/>
      <c r="S785" s="3"/>
    </row>
    <row r="786" ht="15.75" customHeight="1">
      <c r="I786" s="3"/>
      <c r="S786" s="3"/>
    </row>
    <row r="787" ht="15.75" customHeight="1">
      <c r="I787" s="3"/>
      <c r="S787" s="3"/>
    </row>
    <row r="788" ht="15.75" customHeight="1">
      <c r="I788" s="3"/>
      <c r="S788" s="3"/>
    </row>
    <row r="789" ht="15.75" customHeight="1">
      <c r="I789" s="3"/>
      <c r="S789" s="3"/>
    </row>
    <row r="790" ht="15.75" customHeight="1">
      <c r="I790" s="3"/>
      <c r="S790" s="3"/>
    </row>
    <row r="791" ht="15.75" customHeight="1">
      <c r="I791" s="3"/>
      <c r="S791" s="3"/>
    </row>
    <row r="792" ht="15.75" customHeight="1">
      <c r="I792" s="3"/>
      <c r="S792" s="3"/>
    </row>
    <row r="793" ht="15.75" customHeight="1">
      <c r="I793" s="3"/>
      <c r="S793" s="3"/>
    </row>
    <row r="794" ht="15.75" customHeight="1">
      <c r="I794" s="3"/>
      <c r="S794" s="3"/>
    </row>
    <row r="795" ht="15.75" customHeight="1">
      <c r="I795" s="3"/>
      <c r="S795" s="3"/>
    </row>
    <row r="796" ht="15.75" customHeight="1">
      <c r="I796" s="3"/>
      <c r="S796" s="3"/>
    </row>
    <row r="797" ht="15.75" customHeight="1">
      <c r="I797" s="3"/>
      <c r="S797" s="3"/>
    </row>
    <row r="798" ht="15.75" customHeight="1">
      <c r="I798" s="3"/>
      <c r="S798" s="3"/>
    </row>
    <row r="799" ht="15.75" customHeight="1">
      <c r="I799" s="3"/>
      <c r="S799" s="3"/>
    </row>
    <row r="800" ht="15.75" customHeight="1">
      <c r="I800" s="3"/>
      <c r="S800" s="3"/>
    </row>
    <row r="801" ht="15.75" customHeight="1">
      <c r="I801" s="3"/>
      <c r="S801" s="3"/>
    </row>
    <row r="802" ht="15.75" customHeight="1">
      <c r="I802" s="3"/>
      <c r="S802" s="3"/>
    </row>
    <row r="803" ht="15.75" customHeight="1">
      <c r="I803" s="3"/>
      <c r="S803" s="3"/>
    </row>
    <row r="804" ht="15.75" customHeight="1">
      <c r="I804" s="3"/>
      <c r="S804" s="3"/>
    </row>
    <row r="805" ht="15.75" customHeight="1">
      <c r="I805" s="3"/>
      <c r="S805" s="3"/>
    </row>
    <row r="806" ht="15.75" customHeight="1">
      <c r="I806" s="3"/>
      <c r="S806" s="3"/>
    </row>
    <row r="807" ht="15.75" customHeight="1">
      <c r="I807" s="3"/>
      <c r="S807" s="3"/>
    </row>
    <row r="808" ht="15.75" customHeight="1">
      <c r="I808" s="3"/>
      <c r="S808" s="3"/>
    </row>
    <row r="809" ht="15.75" customHeight="1">
      <c r="I809" s="3"/>
      <c r="S809" s="3"/>
    </row>
    <row r="810" ht="15.75" customHeight="1">
      <c r="I810" s="3"/>
      <c r="S810" s="3"/>
    </row>
    <row r="811" ht="15.75" customHeight="1">
      <c r="I811" s="3"/>
      <c r="S811" s="3"/>
    </row>
    <row r="812" ht="15.75" customHeight="1">
      <c r="I812" s="3"/>
      <c r="S812" s="3"/>
    </row>
    <row r="813" ht="15.75" customHeight="1">
      <c r="I813" s="3"/>
      <c r="S813" s="3"/>
    </row>
    <row r="814" ht="15.75" customHeight="1">
      <c r="I814" s="3"/>
      <c r="S814" s="3"/>
    </row>
    <row r="815" ht="15.75" customHeight="1">
      <c r="I815" s="3"/>
      <c r="S815" s="3"/>
    </row>
    <row r="816" ht="15.75" customHeight="1">
      <c r="I816" s="3"/>
      <c r="S816" s="3"/>
    </row>
    <row r="817" ht="15.75" customHeight="1">
      <c r="I817" s="3"/>
      <c r="S817" s="3"/>
    </row>
    <row r="818" ht="15.75" customHeight="1">
      <c r="I818" s="3"/>
      <c r="S818" s="3"/>
    </row>
    <row r="819" ht="15.75" customHeight="1">
      <c r="I819" s="3"/>
      <c r="S819" s="3"/>
    </row>
    <row r="820" ht="15.75" customHeight="1">
      <c r="I820" s="3"/>
      <c r="S820" s="3"/>
    </row>
    <row r="821" ht="15.75" customHeight="1">
      <c r="I821" s="3"/>
      <c r="S821" s="3"/>
    </row>
    <row r="822" ht="15.75" customHeight="1">
      <c r="I822" s="3"/>
      <c r="S822" s="3"/>
    </row>
    <row r="823" ht="15.75" customHeight="1">
      <c r="I823" s="3"/>
      <c r="S823" s="3"/>
    </row>
    <row r="824" ht="15.75" customHeight="1">
      <c r="I824" s="3"/>
      <c r="S824" s="3"/>
    </row>
    <row r="825" ht="15.75" customHeight="1">
      <c r="I825" s="3"/>
      <c r="S825" s="3"/>
    </row>
    <row r="826" ht="15.75" customHeight="1">
      <c r="I826" s="3"/>
      <c r="S826" s="3"/>
    </row>
    <row r="827" ht="15.75" customHeight="1">
      <c r="I827" s="3"/>
      <c r="S827" s="3"/>
    </row>
    <row r="828" ht="15.75" customHeight="1">
      <c r="I828" s="3"/>
      <c r="S828" s="3"/>
    </row>
    <row r="829" ht="15.75" customHeight="1">
      <c r="I829" s="3"/>
      <c r="S829" s="3"/>
    </row>
    <row r="830" ht="15.75" customHeight="1">
      <c r="I830" s="3"/>
      <c r="S830" s="3"/>
    </row>
    <row r="831" ht="15.75" customHeight="1">
      <c r="I831" s="3"/>
      <c r="S831" s="3"/>
    </row>
    <row r="832" ht="15.75" customHeight="1">
      <c r="I832" s="3"/>
      <c r="S832" s="3"/>
    </row>
    <row r="833" ht="15.75" customHeight="1">
      <c r="I833" s="3"/>
      <c r="S833" s="3"/>
    </row>
    <row r="834" ht="15.75" customHeight="1">
      <c r="I834" s="3"/>
      <c r="S834" s="3"/>
    </row>
    <row r="835" ht="15.75" customHeight="1">
      <c r="I835" s="3"/>
      <c r="S835" s="3"/>
    </row>
    <row r="836" ht="15.75" customHeight="1">
      <c r="I836" s="3"/>
      <c r="S836" s="3"/>
    </row>
    <row r="837" ht="15.75" customHeight="1">
      <c r="I837" s="3"/>
      <c r="S837" s="3"/>
    </row>
    <row r="838" ht="15.75" customHeight="1">
      <c r="I838" s="3"/>
      <c r="S838" s="3"/>
    </row>
    <row r="839" ht="15.75" customHeight="1">
      <c r="I839" s="3"/>
      <c r="S839" s="3"/>
    </row>
    <row r="840" ht="15.75" customHeight="1">
      <c r="I840" s="3"/>
      <c r="S840" s="3"/>
    </row>
    <row r="841" ht="15.75" customHeight="1">
      <c r="I841" s="3"/>
      <c r="S841" s="3"/>
    </row>
    <row r="842" ht="15.75" customHeight="1">
      <c r="I842" s="3"/>
      <c r="S842" s="3"/>
    </row>
    <row r="843" ht="15.75" customHeight="1">
      <c r="I843" s="3"/>
      <c r="S843" s="3"/>
    </row>
    <row r="844" ht="15.75" customHeight="1">
      <c r="I844" s="3"/>
      <c r="S844" s="3"/>
    </row>
    <row r="845" ht="15.75" customHeight="1">
      <c r="I845" s="3"/>
      <c r="S845" s="3"/>
    </row>
    <row r="846" ht="15.75" customHeight="1">
      <c r="I846" s="3"/>
      <c r="S846" s="3"/>
    </row>
    <row r="847" ht="15.75" customHeight="1">
      <c r="I847" s="3"/>
      <c r="S847" s="3"/>
    </row>
    <row r="848" ht="15.75" customHeight="1">
      <c r="I848" s="3"/>
      <c r="S848" s="3"/>
    </row>
    <row r="849" ht="15.75" customHeight="1">
      <c r="I849" s="3"/>
      <c r="S849" s="3"/>
    </row>
    <row r="850" ht="15.75" customHeight="1">
      <c r="I850" s="3"/>
      <c r="S850" s="3"/>
    </row>
    <row r="851" ht="15.75" customHeight="1">
      <c r="I851" s="3"/>
      <c r="S851" s="3"/>
    </row>
    <row r="852" ht="15.75" customHeight="1">
      <c r="I852" s="3"/>
      <c r="S852" s="3"/>
    </row>
    <row r="853" ht="15.75" customHeight="1">
      <c r="I853" s="3"/>
      <c r="S853" s="3"/>
    </row>
    <row r="854" ht="15.75" customHeight="1">
      <c r="I854" s="3"/>
      <c r="S854" s="3"/>
    </row>
    <row r="855" ht="15.75" customHeight="1">
      <c r="I855" s="3"/>
      <c r="S855" s="3"/>
    </row>
    <row r="856" ht="15.75" customHeight="1">
      <c r="I856" s="3"/>
      <c r="S856" s="3"/>
    </row>
    <row r="857" ht="15.75" customHeight="1">
      <c r="I857" s="3"/>
      <c r="S857" s="3"/>
    </row>
    <row r="858" ht="15.75" customHeight="1">
      <c r="I858" s="3"/>
      <c r="S858" s="3"/>
    </row>
    <row r="859" ht="15.75" customHeight="1">
      <c r="I859" s="3"/>
      <c r="S859" s="3"/>
    </row>
    <row r="860" ht="15.75" customHeight="1">
      <c r="I860" s="3"/>
      <c r="S860" s="3"/>
    </row>
    <row r="861" ht="15.75" customHeight="1">
      <c r="I861" s="3"/>
      <c r="S861" s="3"/>
    </row>
    <row r="862" ht="15.75" customHeight="1">
      <c r="I862" s="3"/>
      <c r="S862" s="3"/>
    </row>
    <row r="863" ht="15.75" customHeight="1">
      <c r="I863" s="3"/>
      <c r="S863" s="3"/>
    </row>
    <row r="864" ht="15.75" customHeight="1">
      <c r="I864" s="3"/>
      <c r="S864" s="3"/>
    </row>
    <row r="865" ht="15.75" customHeight="1">
      <c r="I865" s="3"/>
      <c r="S865" s="3"/>
    </row>
    <row r="866" ht="15.75" customHeight="1">
      <c r="I866" s="3"/>
      <c r="S866" s="3"/>
    </row>
    <row r="867" ht="15.75" customHeight="1">
      <c r="I867" s="3"/>
      <c r="S867" s="3"/>
    </row>
    <row r="868" ht="15.75" customHeight="1">
      <c r="I868" s="3"/>
      <c r="S868" s="3"/>
    </row>
    <row r="869" ht="15.75" customHeight="1">
      <c r="I869" s="3"/>
      <c r="S869" s="3"/>
    </row>
    <row r="870" ht="15.75" customHeight="1">
      <c r="I870" s="3"/>
      <c r="S870" s="3"/>
    </row>
    <row r="871" ht="15.75" customHeight="1">
      <c r="I871" s="3"/>
      <c r="S871" s="3"/>
    </row>
    <row r="872" ht="15.75" customHeight="1">
      <c r="I872" s="3"/>
      <c r="S872" s="3"/>
    </row>
    <row r="873" ht="15.75" customHeight="1">
      <c r="I873" s="3"/>
      <c r="S873" s="3"/>
    </row>
    <row r="874" ht="15.75" customHeight="1">
      <c r="I874" s="3"/>
      <c r="S874" s="3"/>
    </row>
    <row r="875" ht="15.75" customHeight="1">
      <c r="I875" s="3"/>
      <c r="S875" s="3"/>
    </row>
    <row r="876" ht="15.75" customHeight="1">
      <c r="I876" s="3"/>
      <c r="S876" s="3"/>
    </row>
    <row r="877" ht="15.75" customHeight="1">
      <c r="I877" s="3"/>
      <c r="S877" s="3"/>
    </row>
    <row r="878" ht="15.75" customHeight="1">
      <c r="I878" s="3"/>
      <c r="S878" s="3"/>
    </row>
    <row r="879" ht="15.75" customHeight="1">
      <c r="I879" s="3"/>
      <c r="S879" s="3"/>
    </row>
    <row r="880" ht="15.75" customHeight="1">
      <c r="I880" s="3"/>
      <c r="S880" s="3"/>
    </row>
    <row r="881" ht="15.75" customHeight="1">
      <c r="I881" s="3"/>
      <c r="S881" s="3"/>
    </row>
    <row r="882" ht="15.75" customHeight="1">
      <c r="I882" s="3"/>
      <c r="S882" s="3"/>
    </row>
    <row r="883" ht="15.75" customHeight="1">
      <c r="I883" s="3"/>
      <c r="S883" s="3"/>
    </row>
    <row r="884" ht="15.75" customHeight="1">
      <c r="I884" s="3"/>
      <c r="S884" s="3"/>
    </row>
    <row r="885" ht="15.75" customHeight="1">
      <c r="I885" s="3"/>
      <c r="S885" s="3"/>
    </row>
    <row r="886" ht="15.75" customHeight="1">
      <c r="I886" s="3"/>
      <c r="S886" s="3"/>
    </row>
    <row r="887" ht="15.75" customHeight="1">
      <c r="I887" s="3"/>
      <c r="S887" s="3"/>
    </row>
    <row r="888" ht="15.75" customHeight="1">
      <c r="I888" s="3"/>
      <c r="S888" s="3"/>
    </row>
    <row r="889" ht="15.75" customHeight="1">
      <c r="I889" s="3"/>
      <c r="S889" s="3"/>
    </row>
    <row r="890" ht="15.75" customHeight="1">
      <c r="I890" s="3"/>
      <c r="S890" s="3"/>
    </row>
    <row r="891" ht="15.75" customHeight="1">
      <c r="I891" s="3"/>
      <c r="S891" s="3"/>
    </row>
    <row r="892" ht="15.75" customHeight="1">
      <c r="I892" s="3"/>
      <c r="S892" s="3"/>
    </row>
    <row r="893" ht="15.75" customHeight="1">
      <c r="I893" s="3"/>
      <c r="S893" s="3"/>
    </row>
    <row r="894" ht="15.75" customHeight="1">
      <c r="I894" s="3"/>
      <c r="S894" s="3"/>
    </row>
    <row r="895" ht="15.75" customHeight="1">
      <c r="I895" s="3"/>
      <c r="S895" s="3"/>
    </row>
    <row r="896" ht="15.75" customHeight="1">
      <c r="I896" s="3"/>
      <c r="S896" s="3"/>
    </row>
    <row r="897" ht="15.75" customHeight="1">
      <c r="I897" s="3"/>
      <c r="S897" s="3"/>
    </row>
    <row r="898" ht="15.75" customHeight="1">
      <c r="I898" s="3"/>
      <c r="S898" s="3"/>
    </row>
    <row r="899" ht="15.75" customHeight="1">
      <c r="I899" s="3"/>
      <c r="S899" s="3"/>
    </row>
    <row r="900" ht="15.75" customHeight="1">
      <c r="I900" s="3"/>
      <c r="S900" s="3"/>
    </row>
    <row r="901" ht="15.75" customHeight="1">
      <c r="I901" s="3"/>
      <c r="S901" s="3"/>
    </row>
    <row r="902" ht="15.75" customHeight="1">
      <c r="I902" s="3"/>
      <c r="S902" s="3"/>
    </row>
    <row r="903" ht="15.75" customHeight="1">
      <c r="I903" s="3"/>
      <c r="S903" s="3"/>
    </row>
    <row r="904" ht="15.75" customHeight="1">
      <c r="I904" s="3"/>
      <c r="S904" s="3"/>
    </row>
    <row r="905" ht="15.75" customHeight="1">
      <c r="I905" s="3"/>
      <c r="S905" s="3"/>
    </row>
    <row r="906" ht="15.75" customHeight="1">
      <c r="I906" s="3"/>
      <c r="S906" s="3"/>
    </row>
    <row r="907" ht="15.75" customHeight="1">
      <c r="I907" s="3"/>
      <c r="S907" s="3"/>
    </row>
    <row r="908" ht="15.75" customHeight="1">
      <c r="I908" s="3"/>
      <c r="S908" s="3"/>
    </row>
    <row r="909" ht="15.75" customHeight="1">
      <c r="I909" s="3"/>
      <c r="S909" s="3"/>
    </row>
    <row r="910" ht="15.75" customHeight="1">
      <c r="I910" s="3"/>
      <c r="S910" s="3"/>
    </row>
    <row r="911" ht="15.75" customHeight="1">
      <c r="I911" s="3"/>
      <c r="S911" s="3"/>
    </row>
    <row r="912" ht="15.75" customHeight="1">
      <c r="I912" s="3"/>
      <c r="S912" s="3"/>
    </row>
    <row r="913" ht="15.75" customHeight="1">
      <c r="I913" s="3"/>
      <c r="S913" s="3"/>
    </row>
    <row r="914" ht="15.75" customHeight="1">
      <c r="I914" s="3"/>
      <c r="S914" s="3"/>
    </row>
    <row r="915" ht="15.75" customHeight="1">
      <c r="I915" s="3"/>
      <c r="S915" s="3"/>
    </row>
    <row r="916" ht="15.75" customHeight="1">
      <c r="I916" s="3"/>
      <c r="S916" s="3"/>
    </row>
    <row r="917" ht="15.75" customHeight="1">
      <c r="I917" s="3"/>
      <c r="S917" s="3"/>
    </row>
    <row r="918" ht="15.75" customHeight="1">
      <c r="I918" s="3"/>
      <c r="S918" s="3"/>
    </row>
    <row r="919" ht="15.75" customHeight="1">
      <c r="I919" s="3"/>
      <c r="S919" s="3"/>
    </row>
    <row r="920" ht="15.75" customHeight="1">
      <c r="I920" s="3"/>
      <c r="S920" s="3"/>
    </row>
    <row r="921" ht="15.75" customHeight="1">
      <c r="I921" s="3"/>
      <c r="S921" s="3"/>
    </row>
    <row r="922" ht="15.75" customHeight="1">
      <c r="I922" s="3"/>
      <c r="S922" s="3"/>
    </row>
    <row r="923" ht="15.75" customHeight="1">
      <c r="I923" s="3"/>
      <c r="S923" s="3"/>
    </row>
    <row r="924" ht="15.75" customHeight="1">
      <c r="I924" s="3"/>
      <c r="S924" s="3"/>
    </row>
    <row r="925" ht="15.75" customHeight="1">
      <c r="I925" s="3"/>
      <c r="S925" s="3"/>
    </row>
    <row r="926" ht="15.75" customHeight="1">
      <c r="I926" s="3"/>
      <c r="S926" s="3"/>
    </row>
    <row r="927" ht="15.75" customHeight="1">
      <c r="I927" s="3"/>
      <c r="S927" s="3"/>
    </row>
    <row r="928" ht="15.75" customHeight="1">
      <c r="I928" s="3"/>
      <c r="S928" s="3"/>
    </row>
    <row r="929" ht="15.75" customHeight="1">
      <c r="I929" s="3"/>
      <c r="S929" s="3"/>
    </row>
    <row r="930" ht="15.75" customHeight="1">
      <c r="I930" s="3"/>
      <c r="S930" s="3"/>
    </row>
    <row r="931" ht="15.75" customHeight="1">
      <c r="I931" s="3"/>
      <c r="S931" s="3"/>
    </row>
    <row r="932" ht="15.75" customHeight="1">
      <c r="I932" s="3"/>
      <c r="S932" s="3"/>
    </row>
    <row r="933" ht="15.75" customHeight="1">
      <c r="I933" s="3"/>
      <c r="S933" s="3"/>
    </row>
    <row r="934" ht="15.75" customHeight="1">
      <c r="I934" s="3"/>
      <c r="S934" s="3"/>
    </row>
    <row r="935" ht="15.75" customHeight="1">
      <c r="I935" s="3"/>
      <c r="S935" s="3"/>
    </row>
    <row r="936" ht="15.75" customHeight="1">
      <c r="I936" s="3"/>
      <c r="S936" s="3"/>
    </row>
    <row r="937" ht="15.75" customHeight="1">
      <c r="I937" s="3"/>
      <c r="S937" s="3"/>
    </row>
    <row r="938" ht="15.75" customHeight="1">
      <c r="I938" s="3"/>
      <c r="S938" s="3"/>
    </row>
    <row r="939" ht="15.75" customHeight="1">
      <c r="I939" s="3"/>
      <c r="S939" s="3"/>
    </row>
    <row r="940" ht="15.75" customHeight="1">
      <c r="I940" s="3"/>
      <c r="S940" s="3"/>
    </row>
    <row r="941" ht="15.75" customHeight="1">
      <c r="I941" s="3"/>
      <c r="S941" s="3"/>
    </row>
    <row r="942" ht="15.75" customHeight="1">
      <c r="I942" s="3"/>
      <c r="S942" s="3"/>
    </row>
    <row r="943" ht="15.75" customHeight="1">
      <c r="I943" s="3"/>
      <c r="S943" s="3"/>
    </row>
    <row r="944" ht="15.75" customHeight="1">
      <c r="I944" s="3"/>
      <c r="S944" s="3"/>
    </row>
    <row r="945" ht="15.75" customHeight="1">
      <c r="I945" s="3"/>
      <c r="S945" s="3"/>
    </row>
    <row r="946" ht="15.75" customHeight="1">
      <c r="I946" s="3"/>
      <c r="S946" s="3"/>
    </row>
    <row r="947" ht="15.75" customHeight="1">
      <c r="I947" s="3"/>
      <c r="S947" s="3"/>
    </row>
    <row r="948" ht="15.75" customHeight="1">
      <c r="I948" s="3"/>
      <c r="S948" s="3"/>
    </row>
    <row r="949" ht="15.75" customHeight="1">
      <c r="I949" s="3"/>
      <c r="S949" s="3"/>
    </row>
    <row r="950" ht="15.75" customHeight="1">
      <c r="I950" s="3"/>
      <c r="S950" s="3"/>
    </row>
    <row r="951" ht="15.75" customHeight="1">
      <c r="I951" s="3"/>
      <c r="S951" s="3"/>
    </row>
    <row r="952" ht="15.75" customHeight="1">
      <c r="I952" s="3"/>
      <c r="S952" s="3"/>
    </row>
    <row r="953" ht="15.75" customHeight="1">
      <c r="I953" s="3"/>
      <c r="S953" s="3"/>
    </row>
    <row r="954" ht="15.75" customHeight="1">
      <c r="I954" s="3"/>
      <c r="S954" s="3"/>
    </row>
    <row r="955" ht="15.75" customHeight="1">
      <c r="I955" s="3"/>
      <c r="S955" s="3"/>
    </row>
    <row r="956" ht="15.75" customHeight="1">
      <c r="I956" s="3"/>
      <c r="S956" s="3"/>
    </row>
    <row r="957" ht="15.75" customHeight="1">
      <c r="I957" s="3"/>
      <c r="S957" s="3"/>
    </row>
    <row r="958" ht="15.75" customHeight="1">
      <c r="I958" s="3"/>
      <c r="S958" s="3"/>
    </row>
    <row r="959" ht="15.75" customHeight="1">
      <c r="I959" s="3"/>
      <c r="S959" s="3"/>
    </row>
    <row r="960" ht="15.75" customHeight="1">
      <c r="I960" s="3"/>
      <c r="S960" s="3"/>
    </row>
    <row r="961" ht="15.75" customHeight="1">
      <c r="I961" s="3"/>
      <c r="S961" s="3"/>
    </row>
    <row r="962" ht="15.75" customHeight="1">
      <c r="I962" s="3"/>
      <c r="S962" s="3"/>
    </row>
    <row r="963" ht="15.75" customHeight="1">
      <c r="I963" s="3"/>
      <c r="S963" s="3"/>
    </row>
    <row r="964" ht="15.75" customHeight="1">
      <c r="I964" s="3"/>
      <c r="S964" s="3"/>
    </row>
    <row r="965" ht="15.75" customHeight="1">
      <c r="I965" s="3"/>
      <c r="S965" s="3"/>
    </row>
    <row r="966" ht="15.75" customHeight="1">
      <c r="I966" s="3"/>
      <c r="S966" s="3"/>
    </row>
    <row r="967" ht="15.75" customHeight="1">
      <c r="I967" s="3"/>
      <c r="S967" s="3"/>
    </row>
    <row r="968" ht="15.75" customHeight="1">
      <c r="I968" s="3"/>
      <c r="S968" s="3"/>
    </row>
    <row r="969" ht="15.75" customHeight="1">
      <c r="I969" s="3"/>
      <c r="S969" s="3"/>
    </row>
    <row r="970" ht="15.75" customHeight="1">
      <c r="I970" s="3"/>
      <c r="S970" s="3"/>
    </row>
    <row r="971" ht="15.75" customHeight="1">
      <c r="I971" s="3"/>
      <c r="S971" s="3"/>
    </row>
    <row r="972" ht="15.75" customHeight="1">
      <c r="I972" s="3"/>
      <c r="S972" s="3"/>
    </row>
    <row r="973" ht="15.75" customHeight="1">
      <c r="I973" s="3"/>
      <c r="S973" s="3"/>
    </row>
    <row r="974" ht="15.75" customHeight="1">
      <c r="I974" s="3"/>
      <c r="S974" s="3"/>
    </row>
    <row r="975" ht="15.75" customHeight="1">
      <c r="I975" s="3"/>
      <c r="S975" s="3"/>
    </row>
    <row r="976" ht="15.75" customHeight="1">
      <c r="I976" s="3"/>
      <c r="S976" s="3"/>
    </row>
    <row r="977" ht="15.75" customHeight="1">
      <c r="I977" s="3"/>
      <c r="S977" s="3"/>
    </row>
    <row r="978" ht="15.75" customHeight="1">
      <c r="I978" s="3"/>
      <c r="S978" s="3"/>
    </row>
    <row r="979" ht="15.75" customHeight="1">
      <c r="I979" s="3"/>
      <c r="S979" s="3"/>
    </row>
    <row r="980" ht="15.75" customHeight="1">
      <c r="I980" s="3"/>
      <c r="S980" s="3"/>
    </row>
    <row r="981" ht="15.75" customHeight="1">
      <c r="I981" s="3"/>
      <c r="S981" s="3"/>
    </row>
    <row r="982" ht="15.75" customHeight="1">
      <c r="I982" s="3"/>
      <c r="S982" s="3"/>
    </row>
    <row r="983" ht="15.75" customHeight="1">
      <c r="I983" s="3"/>
      <c r="S983" s="3"/>
    </row>
    <row r="984" ht="15.75" customHeight="1">
      <c r="I984" s="3"/>
      <c r="S984" s="3"/>
    </row>
    <row r="985" ht="15.75" customHeight="1">
      <c r="I985" s="3"/>
      <c r="S985" s="3"/>
    </row>
    <row r="986" ht="15.75" customHeight="1">
      <c r="I986" s="3"/>
      <c r="S986" s="3"/>
    </row>
    <row r="987" ht="15.75" customHeight="1">
      <c r="I987" s="3"/>
      <c r="S987" s="3"/>
    </row>
    <row r="988" ht="15.75" customHeight="1">
      <c r="I988" s="3"/>
      <c r="S988" s="3"/>
    </row>
    <row r="989" ht="15.75" customHeight="1">
      <c r="I989" s="3"/>
      <c r="S989" s="3"/>
    </row>
    <row r="990" ht="15.75" customHeight="1">
      <c r="I990" s="3"/>
      <c r="S990" s="3"/>
    </row>
    <row r="991" ht="15.75" customHeight="1">
      <c r="I991" s="3"/>
      <c r="S991" s="3"/>
    </row>
    <row r="992" ht="15.75" customHeight="1">
      <c r="I992" s="3"/>
      <c r="S992" s="3"/>
    </row>
    <row r="993" ht="15.75" customHeight="1">
      <c r="I993" s="3"/>
      <c r="S993" s="3"/>
    </row>
    <row r="994" ht="15.75" customHeight="1">
      <c r="I994" s="3"/>
      <c r="S994" s="3"/>
    </row>
    <row r="995" ht="15.75" customHeight="1">
      <c r="I995" s="3"/>
      <c r="S995" s="3"/>
    </row>
    <row r="996" ht="15.75" customHeight="1">
      <c r="I996" s="3"/>
      <c r="S996" s="3"/>
    </row>
    <row r="997" ht="15.75" customHeight="1">
      <c r="I997" s="3"/>
      <c r="S997" s="3"/>
    </row>
    <row r="998" ht="15.75" customHeight="1">
      <c r="I998" s="3"/>
      <c r="S998" s="3"/>
    </row>
    <row r="999" ht="15.75" customHeight="1">
      <c r="I999" s="3"/>
      <c r="S999" s="3"/>
    </row>
    <row r="1000" ht="15.75" customHeight="1">
      <c r="I1000" s="3"/>
      <c r="S1000" s="3"/>
    </row>
  </sheetData>
  <autoFilter ref="$A$1:$S$1"/>
  <dataValidations>
    <dataValidation type="list" allowBlank="1" sqref="I2:I1000">
      <formula1>"EUR,USD"</formula1>
    </dataValidation>
    <dataValidation type="list" allowBlank="1" sqref="S2:S10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.0"/>
    <col customWidth="1" min="3" max="3" width="12.0"/>
    <col customWidth="1" min="4" max="27" width="8.71"/>
  </cols>
  <sheetData>
    <row r="1">
      <c r="A1" s="7" t="s">
        <v>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AA1" s="8"/>
    </row>
    <row r="2">
      <c r="A2" s="8"/>
      <c r="B2" s="8"/>
      <c r="C2" s="9" t="s">
        <v>48</v>
      </c>
      <c r="D2" s="9" t="s">
        <v>49</v>
      </c>
      <c r="E2" s="9" t="s">
        <v>50</v>
      </c>
      <c r="F2" s="9" t="s">
        <v>51</v>
      </c>
      <c r="G2" s="9" t="s">
        <v>52</v>
      </c>
      <c r="H2" s="9" t="s">
        <v>53</v>
      </c>
      <c r="I2" s="9" t="s">
        <v>54</v>
      </c>
      <c r="J2" s="9" t="s">
        <v>55</v>
      </c>
      <c r="K2" s="9" t="s">
        <v>56</v>
      </c>
      <c r="L2" s="9" t="s">
        <v>57</v>
      </c>
      <c r="M2" s="9" t="s">
        <v>58</v>
      </c>
      <c r="N2" s="9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9" t="s">
        <v>72</v>
      </c>
    </row>
    <row r="3">
      <c r="A3" s="8"/>
      <c r="B3" s="8"/>
      <c r="C3" s="10">
        <v>45658.0</v>
      </c>
      <c r="D3" s="10">
        <v>45689.0</v>
      </c>
      <c r="E3" s="10">
        <v>45717.0</v>
      </c>
      <c r="F3" s="10">
        <v>45748.0</v>
      </c>
      <c r="G3" s="10">
        <v>45778.0</v>
      </c>
      <c r="H3" s="10">
        <v>45809.0</v>
      </c>
      <c r="I3" s="10">
        <v>45839.0</v>
      </c>
      <c r="J3" s="10">
        <v>45870.0</v>
      </c>
      <c r="K3" s="10">
        <v>45901.0</v>
      </c>
      <c r="L3" s="10">
        <v>45931.0</v>
      </c>
      <c r="M3" s="10">
        <v>45962.0</v>
      </c>
      <c r="N3" s="10">
        <v>45992.0</v>
      </c>
      <c r="O3" s="10">
        <v>46023.0</v>
      </c>
      <c r="P3" s="10">
        <v>46054.0</v>
      </c>
      <c r="Q3" s="10">
        <v>46082.0</v>
      </c>
      <c r="R3" s="10">
        <v>46113.0</v>
      </c>
      <c r="S3" s="10">
        <v>46143.0</v>
      </c>
      <c r="T3" s="10">
        <v>46174.0</v>
      </c>
      <c r="U3" s="10">
        <v>46204.0</v>
      </c>
      <c r="V3" s="10">
        <v>46235.0</v>
      </c>
      <c r="W3" s="10">
        <v>46266.0</v>
      </c>
      <c r="X3" s="10">
        <v>46296.0</v>
      </c>
      <c r="Y3" s="10">
        <v>46327.0</v>
      </c>
      <c r="Z3" s="10">
        <v>46357.0</v>
      </c>
      <c r="AA3" s="8"/>
    </row>
    <row r="4">
      <c r="A4" s="11" t="s">
        <v>73</v>
      </c>
      <c r="B4" s="12"/>
      <c r="C4" s="13">
        <f t="shared" ref="C4:Z4" si="1">SUM(C5:C9)</f>
        <v>0</v>
      </c>
      <c r="D4" s="13">
        <f t="shared" si="1"/>
        <v>0</v>
      </c>
      <c r="E4" s="13">
        <f t="shared" si="1"/>
        <v>0</v>
      </c>
      <c r="F4" s="13">
        <f t="shared" si="1"/>
        <v>0</v>
      </c>
      <c r="G4" s="13">
        <f t="shared" si="1"/>
        <v>0</v>
      </c>
      <c r="H4" s="13">
        <f t="shared" si="1"/>
        <v>0</v>
      </c>
      <c r="I4" s="13">
        <f t="shared" si="1"/>
        <v>0</v>
      </c>
      <c r="J4" s="13">
        <f t="shared" si="1"/>
        <v>0</v>
      </c>
      <c r="K4" s="13">
        <f t="shared" si="1"/>
        <v>0</v>
      </c>
      <c r="L4" s="13">
        <f t="shared" si="1"/>
        <v>0</v>
      </c>
      <c r="M4" s="13">
        <f t="shared" si="1"/>
        <v>0</v>
      </c>
      <c r="N4" s="13">
        <f t="shared" si="1"/>
        <v>0</v>
      </c>
      <c r="O4" s="3">
        <f t="shared" si="1"/>
        <v>0</v>
      </c>
      <c r="P4" s="3">
        <f t="shared" si="1"/>
        <v>0</v>
      </c>
      <c r="Q4" s="3">
        <f t="shared" si="1"/>
        <v>0</v>
      </c>
      <c r="R4" s="3">
        <f t="shared" si="1"/>
        <v>0</v>
      </c>
      <c r="S4" s="3">
        <f t="shared" si="1"/>
        <v>0</v>
      </c>
      <c r="T4" s="3">
        <f t="shared" si="1"/>
        <v>0</v>
      </c>
      <c r="U4" s="3">
        <f t="shared" si="1"/>
        <v>0</v>
      </c>
      <c r="V4" s="3">
        <f t="shared" si="1"/>
        <v>0</v>
      </c>
      <c r="W4" s="3">
        <f t="shared" si="1"/>
        <v>0</v>
      </c>
      <c r="X4" s="3">
        <f t="shared" si="1"/>
        <v>0</v>
      </c>
      <c r="Y4" s="3">
        <f t="shared" si="1"/>
        <v>0</v>
      </c>
      <c r="Z4" s="3">
        <f t="shared" si="1"/>
        <v>0</v>
      </c>
      <c r="AA4" s="13">
        <f t="shared" ref="AA4:AA9" si="2">SUM(C4:Z4)</f>
        <v>0</v>
      </c>
    </row>
    <row r="5">
      <c r="A5" s="14" t="s">
        <v>74</v>
      </c>
      <c r="B5" s="8"/>
      <c r="C5" s="15">
        <f>SUMIFS('2025-2026 Tracker'!$K$2:$K$5000,'2025-2026 Tracker'!$A$2:$A$5000,"&gt;="&amp;C3,'2025-2026 Tracker'!$A$2:$A$5000,"&lt;="&amp;EOMONTH(C3,0),'2025-2026 Tracker'!$B$2:$B$5000,"Income",'2025-2026 Tracker'!$C$2:$C$5000,"Project payments")</f>
        <v>0</v>
      </c>
      <c r="D5" s="15">
        <f>SUMIFS('2025-2026 Tracker'!$K$2:$K$5000,'2025-2026 Tracker'!$A$2:$A$5000,"&gt;="&amp;D3,'2025-2026 Tracker'!$A$2:$A$5000,"&lt;="&amp;EOMONTH(D3,0),'2025-2026 Tracker'!$B$2:$B$5000,"Income",'2025-2026 Tracker'!$C$2:$C$5000,"Project payments")</f>
        <v>0</v>
      </c>
      <c r="E5" s="15">
        <f>SUMIFS('2025-2026 Tracker'!$K$2:$K$5000,'2025-2026 Tracker'!$A$2:$A$5000,"&gt;="&amp;E3,'2025-2026 Tracker'!$A$2:$A$5000,"&lt;="&amp;EOMONTH(E3,0),'2025-2026 Tracker'!$B$2:$B$5000,"Income",'2025-2026 Tracker'!$C$2:$C$5000,"Project payments")</f>
        <v>0</v>
      </c>
      <c r="F5" s="15">
        <f>SUMIFS('2025-2026 Tracker'!$K$2:$K$5000,'2025-2026 Tracker'!$A$2:$A$5000,"&gt;="&amp;F3,'2025-2026 Tracker'!$A$2:$A$5000,"&lt;="&amp;EOMONTH(F3,0),'2025-2026 Tracker'!$B$2:$B$5000,"Income",'2025-2026 Tracker'!$C$2:$C$5000,"Project payments")</f>
        <v>0</v>
      </c>
      <c r="G5" s="15">
        <f>SUMIFS('2025-2026 Tracker'!$K$2:$K$5000,'2025-2026 Tracker'!$A$2:$A$5000,"&gt;="&amp;G3,'2025-2026 Tracker'!$A$2:$A$5000,"&lt;="&amp;EOMONTH(G3,0),'2025-2026 Tracker'!$B$2:$B$5000,"Income",'2025-2026 Tracker'!$C$2:$C$5000,"Project payments")</f>
        <v>0</v>
      </c>
      <c r="H5" s="15">
        <f>SUMIFS('2025-2026 Tracker'!$K$2:$K$5000,'2025-2026 Tracker'!$A$2:$A$5000,"&gt;="&amp;H3,'2025-2026 Tracker'!$A$2:$A$5000,"&lt;="&amp;EOMONTH(H3,0),'2025-2026 Tracker'!$B$2:$B$5000,"Income",'2025-2026 Tracker'!$C$2:$C$5000,"Project payments")</f>
        <v>0</v>
      </c>
      <c r="I5" s="15">
        <f>SUMIFS('2025-2026 Tracker'!$K$2:$K$5000,'2025-2026 Tracker'!$A$2:$A$5000,"&gt;="&amp;I3,'2025-2026 Tracker'!$A$2:$A$5000,"&lt;="&amp;EOMONTH(I3,0),'2025-2026 Tracker'!$B$2:$B$5000,"Income",'2025-2026 Tracker'!$C$2:$C$5000,"Project payments")</f>
        <v>0</v>
      </c>
      <c r="J5" s="15">
        <f>SUMIFS('2025-2026 Tracker'!$K$2:$K$5000,'2025-2026 Tracker'!$A$2:$A$5000,"&gt;="&amp;J3,'2025-2026 Tracker'!$A$2:$A$5000,"&lt;="&amp;EOMONTH(J3,0),'2025-2026 Tracker'!$B$2:$B$5000,"Income",'2025-2026 Tracker'!$C$2:$C$5000,"Project payments")</f>
        <v>0</v>
      </c>
      <c r="K5" s="15">
        <f>SUMIFS('2025-2026 Tracker'!$K$2:$K$5000,'2025-2026 Tracker'!$A$2:$A$5000,"&gt;="&amp;K3,'2025-2026 Tracker'!$A$2:$A$5000,"&lt;="&amp;EOMONTH(K3,0),'2025-2026 Tracker'!$B$2:$B$5000,"Income",'2025-2026 Tracker'!$C$2:$C$5000,"Project payments")</f>
        <v>0</v>
      </c>
      <c r="L5" s="15">
        <f>SUMIFS('2025-2026 Tracker'!$K$2:$K$5000,'2025-2026 Tracker'!$A$2:$A$5000,"&gt;="&amp;L3,'2025-2026 Tracker'!$A$2:$A$5000,"&lt;="&amp;EOMONTH(L3,0),'2025-2026 Tracker'!$B$2:$B$5000,"Income",'2025-2026 Tracker'!$C$2:$C$5000,"Project payments")</f>
        <v>0</v>
      </c>
      <c r="M5" s="15">
        <f>SUMIFS('2025-2026 Tracker'!$K$2:$K$5000,'2025-2026 Tracker'!$A$2:$A$5000,"&gt;="&amp;M3,'2025-2026 Tracker'!$A$2:$A$5000,"&lt;="&amp;EOMONTH(M3,0),'2025-2026 Tracker'!$B$2:$B$5000,"Income",'2025-2026 Tracker'!$C$2:$C$5000,"Project payments")</f>
        <v>0</v>
      </c>
      <c r="N5" s="15">
        <f>SUMIFS('2025-2026 Tracker'!$K$2:$K$5000,'2025-2026 Tracker'!$A$2:$A$5000,"&gt;="&amp;N3,'2025-2026 Tracker'!$A$2:$A$5000,"&lt;="&amp;EOMONTH(N3,0),'2025-2026 Tracker'!$B$2:$B$5000,"Income",'2025-2026 Tracker'!$C$2:$C$5000,"Project payments")</f>
        <v>0</v>
      </c>
      <c r="O5" s="3">
        <f>SUMIFS('2025-2026 Tracker'!$K$2:$K$5000,'2025-2026 Tracker'!$A$2:$A$5000,"&gt;="&amp;O3,'2025-2026 Tracker'!$A$2:$A$5000,"&lt;="&amp;EOMONTH(O3,0),'2025-2026 Tracker'!$B$2:$B$5000,"Income",'2025-2026 Tracker'!$C$2:$C$5000,"Project payments")</f>
        <v>0</v>
      </c>
      <c r="P5" s="3">
        <f>SUMIFS('2025-2026 Tracker'!$K$2:$K$5000,'2025-2026 Tracker'!$A$2:$A$5000,"&gt;="&amp;P3,'2025-2026 Tracker'!$A$2:$A$5000,"&lt;="&amp;EOMONTH(P3,0),'2025-2026 Tracker'!$B$2:$B$5000,"Income",'2025-2026 Tracker'!$C$2:$C$5000,"Project payments")</f>
        <v>0</v>
      </c>
      <c r="Q5" s="3">
        <f>SUMIFS('2025-2026 Tracker'!$K$2:$K$5000,'2025-2026 Tracker'!$A$2:$A$5000,"&gt;="&amp;Q3,'2025-2026 Tracker'!$A$2:$A$5000,"&lt;="&amp;EOMONTH(Q3,0),'2025-2026 Tracker'!$B$2:$B$5000,"Income",'2025-2026 Tracker'!$C$2:$C$5000,"Project payments")</f>
        <v>0</v>
      </c>
      <c r="R5" s="3">
        <f>SUMIFS('2025-2026 Tracker'!$K$2:$K$5000,'2025-2026 Tracker'!$A$2:$A$5000,"&gt;="&amp;R3,'2025-2026 Tracker'!$A$2:$A$5000,"&lt;="&amp;EOMONTH(R3,0),'2025-2026 Tracker'!$B$2:$B$5000,"Income",'2025-2026 Tracker'!$C$2:$C$5000,"Project payments")</f>
        <v>0</v>
      </c>
      <c r="S5" s="3">
        <f>SUMIFS('2025-2026 Tracker'!$K$2:$K$5000,'2025-2026 Tracker'!$A$2:$A$5000,"&gt;="&amp;S3,'2025-2026 Tracker'!$A$2:$A$5000,"&lt;="&amp;EOMONTH(S3,0),'2025-2026 Tracker'!$B$2:$B$5000,"Income",'2025-2026 Tracker'!$C$2:$C$5000,"Project payments")</f>
        <v>0</v>
      </c>
      <c r="T5" s="3">
        <f>SUMIFS('2025-2026 Tracker'!$K$2:$K$5000,'2025-2026 Tracker'!$A$2:$A$5000,"&gt;="&amp;T3,'2025-2026 Tracker'!$A$2:$A$5000,"&lt;="&amp;EOMONTH(T3,0),'2025-2026 Tracker'!$B$2:$B$5000,"Income",'2025-2026 Tracker'!$C$2:$C$5000,"Project payments")</f>
        <v>0</v>
      </c>
      <c r="U5" s="3">
        <f>SUMIFS('2025-2026 Tracker'!$K$2:$K$5000,'2025-2026 Tracker'!$A$2:$A$5000,"&gt;="&amp;U3,'2025-2026 Tracker'!$A$2:$A$5000,"&lt;="&amp;EOMONTH(U3,0),'2025-2026 Tracker'!$B$2:$B$5000,"Income",'2025-2026 Tracker'!$C$2:$C$5000,"Project payments")</f>
        <v>0</v>
      </c>
      <c r="V5" s="3">
        <f>SUMIFS('2025-2026 Tracker'!$K$2:$K$5000,'2025-2026 Tracker'!$A$2:$A$5000,"&gt;="&amp;V3,'2025-2026 Tracker'!$A$2:$A$5000,"&lt;="&amp;EOMONTH(V3,0),'2025-2026 Tracker'!$B$2:$B$5000,"Income",'2025-2026 Tracker'!$C$2:$C$5000,"Project payments")</f>
        <v>0</v>
      </c>
      <c r="W5" s="3">
        <f>SUMIFS('2025-2026 Tracker'!$K$2:$K$5000,'2025-2026 Tracker'!$A$2:$A$5000,"&gt;="&amp;W3,'2025-2026 Tracker'!$A$2:$A$5000,"&lt;="&amp;EOMONTH(W3,0),'2025-2026 Tracker'!$B$2:$B$5000,"Income",'2025-2026 Tracker'!$C$2:$C$5000,"Project payments")</f>
        <v>0</v>
      </c>
      <c r="X5" s="3">
        <f>SUMIFS('2025-2026 Tracker'!$K$2:$K$5000,'2025-2026 Tracker'!$A$2:$A$5000,"&gt;="&amp;X3,'2025-2026 Tracker'!$A$2:$A$5000,"&lt;="&amp;EOMONTH(X3,0),'2025-2026 Tracker'!$B$2:$B$5000,"Income",'2025-2026 Tracker'!$C$2:$C$5000,"Project payments")</f>
        <v>0</v>
      </c>
      <c r="Y5" s="3">
        <f>SUMIFS('2025-2026 Tracker'!$K$2:$K$5000,'2025-2026 Tracker'!$A$2:$A$5000,"&gt;="&amp;Y3,'2025-2026 Tracker'!$A$2:$A$5000,"&lt;="&amp;EOMONTH(Y3,0),'2025-2026 Tracker'!$B$2:$B$5000,"Income",'2025-2026 Tracker'!$C$2:$C$5000,"Project payments")</f>
        <v>0</v>
      </c>
      <c r="Z5" s="3">
        <f>SUMIFS('2025-2026 Tracker'!$K$2:$K$5000,'2025-2026 Tracker'!$A$2:$A$5000,"&gt;="&amp;Z3,'2025-2026 Tracker'!$A$2:$A$5000,"&lt;="&amp;EOMONTH(Z3,0),'2025-2026 Tracker'!$B$2:$B$5000,"Income",'2025-2026 Tracker'!$C$2:$C$5000,"Project payments")</f>
        <v>0</v>
      </c>
      <c r="AA5" s="16">
        <f t="shared" si="2"/>
        <v>0</v>
      </c>
    </row>
    <row r="6">
      <c r="A6" s="14" t="s">
        <v>75</v>
      </c>
      <c r="B6" s="8"/>
      <c r="C6" s="15">
        <f>SUMIFS('2025-2026 Tracker'!$K$2:$K$5000,'2025-2026 Tracker'!$A$2:$A$5000,"&gt;="&amp;C3,'2025-2026 Tracker'!$A$2:$A$5000,"&lt;="&amp;EOMONTH(C3,0),'2025-2026 Tracker'!$B$2:$B$5000,"Income",'2025-2026 Tracker'!$C$2:$C$5000,"Retainers")</f>
        <v>0</v>
      </c>
      <c r="D6" s="15">
        <f>SUMIFS('2025-2026 Tracker'!$K$2:$K$5000,'2025-2026 Tracker'!$A$2:$A$5000,"&gt;="&amp;D3,'2025-2026 Tracker'!$A$2:$A$5000,"&lt;="&amp;EOMONTH(D3,0),'2025-2026 Tracker'!$B$2:$B$5000,"Income",'2025-2026 Tracker'!$C$2:$C$5000,"Retainers")</f>
        <v>0</v>
      </c>
      <c r="E6" s="15">
        <f>SUMIFS('2025-2026 Tracker'!$K$2:$K$5000,'2025-2026 Tracker'!$A$2:$A$5000,"&gt;="&amp;E3,'2025-2026 Tracker'!$A$2:$A$5000,"&lt;="&amp;EOMONTH(E3,0),'2025-2026 Tracker'!$B$2:$B$5000,"Income",'2025-2026 Tracker'!$C$2:$C$5000,"Retainers")</f>
        <v>0</v>
      </c>
      <c r="F6" s="15">
        <f>SUMIFS('2025-2026 Tracker'!$K$2:$K$5000,'2025-2026 Tracker'!$A$2:$A$5000,"&gt;="&amp;F3,'2025-2026 Tracker'!$A$2:$A$5000,"&lt;="&amp;EOMONTH(F3,0),'2025-2026 Tracker'!$B$2:$B$5000,"Income",'2025-2026 Tracker'!$C$2:$C$5000,"Retainers")</f>
        <v>0</v>
      </c>
      <c r="G6" s="15">
        <f>SUMIFS('2025-2026 Tracker'!$K$2:$K$5000,'2025-2026 Tracker'!$A$2:$A$5000,"&gt;="&amp;G3,'2025-2026 Tracker'!$A$2:$A$5000,"&lt;="&amp;EOMONTH(G3,0),'2025-2026 Tracker'!$B$2:$B$5000,"Income",'2025-2026 Tracker'!$C$2:$C$5000,"Retainers")</f>
        <v>0</v>
      </c>
      <c r="H6" s="15">
        <f>SUMIFS('2025-2026 Tracker'!$K$2:$K$5000,'2025-2026 Tracker'!$A$2:$A$5000,"&gt;="&amp;H3,'2025-2026 Tracker'!$A$2:$A$5000,"&lt;="&amp;EOMONTH(H3,0),'2025-2026 Tracker'!$B$2:$B$5000,"Income",'2025-2026 Tracker'!$C$2:$C$5000,"Retainers")</f>
        <v>0</v>
      </c>
      <c r="I6" s="15">
        <f>SUMIFS('2025-2026 Tracker'!$K$2:$K$5000,'2025-2026 Tracker'!$A$2:$A$5000,"&gt;="&amp;I3,'2025-2026 Tracker'!$A$2:$A$5000,"&lt;="&amp;EOMONTH(I3,0),'2025-2026 Tracker'!$B$2:$B$5000,"Income",'2025-2026 Tracker'!$C$2:$C$5000,"Retainers")</f>
        <v>0</v>
      </c>
      <c r="J6" s="15">
        <f>SUMIFS('2025-2026 Tracker'!$K$2:$K$5000,'2025-2026 Tracker'!$A$2:$A$5000,"&gt;="&amp;J3,'2025-2026 Tracker'!$A$2:$A$5000,"&lt;="&amp;EOMONTH(J3,0),'2025-2026 Tracker'!$B$2:$B$5000,"Income",'2025-2026 Tracker'!$C$2:$C$5000,"Retainers")</f>
        <v>0</v>
      </c>
      <c r="K6" s="15">
        <f>SUMIFS('2025-2026 Tracker'!$K$2:$K$5000,'2025-2026 Tracker'!$A$2:$A$5000,"&gt;="&amp;K3,'2025-2026 Tracker'!$A$2:$A$5000,"&lt;="&amp;EOMONTH(K3,0),'2025-2026 Tracker'!$B$2:$B$5000,"Income",'2025-2026 Tracker'!$C$2:$C$5000,"Retainers")</f>
        <v>0</v>
      </c>
      <c r="L6" s="15">
        <f>SUMIFS('2025-2026 Tracker'!$K$2:$K$5000,'2025-2026 Tracker'!$A$2:$A$5000,"&gt;="&amp;L3,'2025-2026 Tracker'!$A$2:$A$5000,"&lt;="&amp;EOMONTH(L3,0),'2025-2026 Tracker'!$B$2:$B$5000,"Income",'2025-2026 Tracker'!$C$2:$C$5000,"Retainers")</f>
        <v>0</v>
      </c>
      <c r="M6" s="15">
        <f>SUMIFS('2025-2026 Tracker'!$K$2:$K$5000,'2025-2026 Tracker'!$A$2:$A$5000,"&gt;="&amp;M3,'2025-2026 Tracker'!$A$2:$A$5000,"&lt;="&amp;EOMONTH(M3,0),'2025-2026 Tracker'!$B$2:$B$5000,"Income",'2025-2026 Tracker'!$C$2:$C$5000,"Retainers")</f>
        <v>0</v>
      </c>
      <c r="N6" s="15">
        <f>SUMIFS('2025-2026 Tracker'!$K$2:$K$5000,'2025-2026 Tracker'!$A$2:$A$5000,"&gt;="&amp;N3,'2025-2026 Tracker'!$A$2:$A$5000,"&lt;="&amp;EOMONTH(N3,0),'2025-2026 Tracker'!$B$2:$B$5000,"Income",'2025-2026 Tracker'!$C$2:$C$5000,"Retainers")</f>
        <v>0</v>
      </c>
      <c r="O6" s="3">
        <f>SUMIFS('2025-2026 Tracker'!$K$2:$K$5000,'2025-2026 Tracker'!$A$2:$A$5000,"&gt;="&amp;O3,'2025-2026 Tracker'!$A$2:$A$5000,"&lt;="&amp;EOMONTH(O3,0),'2025-2026 Tracker'!$B$2:$B$5000,"Income",'2025-2026 Tracker'!$C$2:$C$5000,"Retainers")</f>
        <v>0</v>
      </c>
      <c r="P6" s="3">
        <f>SUMIFS('2025-2026 Tracker'!$K$2:$K$5000,'2025-2026 Tracker'!$A$2:$A$5000,"&gt;="&amp;P3,'2025-2026 Tracker'!$A$2:$A$5000,"&lt;="&amp;EOMONTH(P3,0),'2025-2026 Tracker'!$B$2:$B$5000,"Income",'2025-2026 Tracker'!$C$2:$C$5000,"Retainers")</f>
        <v>0</v>
      </c>
      <c r="Q6" s="3">
        <f>SUMIFS('2025-2026 Tracker'!$K$2:$K$5000,'2025-2026 Tracker'!$A$2:$A$5000,"&gt;="&amp;Q3,'2025-2026 Tracker'!$A$2:$A$5000,"&lt;="&amp;EOMONTH(Q3,0),'2025-2026 Tracker'!$B$2:$B$5000,"Income",'2025-2026 Tracker'!$C$2:$C$5000,"Retainers")</f>
        <v>0</v>
      </c>
      <c r="R6" s="3">
        <f>SUMIFS('2025-2026 Tracker'!$K$2:$K$5000,'2025-2026 Tracker'!$A$2:$A$5000,"&gt;="&amp;R3,'2025-2026 Tracker'!$A$2:$A$5000,"&lt;="&amp;EOMONTH(R3,0),'2025-2026 Tracker'!$B$2:$B$5000,"Income",'2025-2026 Tracker'!$C$2:$C$5000,"Retainers")</f>
        <v>0</v>
      </c>
      <c r="S6" s="3">
        <f>SUMIFS('2025-2026 Tracker'!$K$2:$K$5000,'2025-2026 Tracker'!$A$2:$A$5000,"&gt;="&amp;S3,'2025-2026 Tracker'!$A$2:$A$5000,"&lt;="&amp;EOMONTH(S3,0),'2025-2026 Tracker'!$B$2:$B$5000,"Income",'2025-2026 Tracker'!$C$2:$C$5000,"Retainers")</f>
        <v>0</v>
      </c>
      <c r="T6" s="3">
        <f>SUMIFS('2025-2026 Tracker'!$K$2:$K$5000,'2025-2026 Tracker'!$A$2:$A$5000,"&gt;="&amp;T3,'2025-2026 Tracker'!$A$2:$A$5000,"&lt;="&amp;EOMONTH(T3,0),'2025-2026 Tracker'!$B$2:$B$5000,"Income",'2025-2026 Tracker'!$C$2:$C$5000,"Retainers")</f>
        <v>0</v>
      </c>
      <c r="U6" s="3">
        <f>SUMIFS('2025-2026 Tracker'!$K$2:$K$5000,'2025-2026 Tracker'!$A$2:$A$5000,"&gt;="&amp;U3,'2025-2026 Tracker'!$A$2:$A$5000,"&lt;="&amp;EOMONTH(U3,0),'2025-2026 Tracker'!$B$2:$B$5000,"Income",'2025-2026 Tracker'!$C$2:$C$5000,"Retainers")</f>
        <v>0</v>
      </c>
      <c r="V6" s="3">
        <f>SUMIFS('2025-2026 Tracker'!$K$2:$K$5000,'2025-2026 Tracker'!$A$2:$A$5000,"&gt;="&amp;V3,'2025-2026 Tracker'!$A$2:$A$5000,"&lt;="&amp;EOMONTH(V3,0),'2025-2026 Tracker'!$B$2:$B$5000,"Income",'2025-2026 Tracker'!$C$2:$C$5000,"Retainers")</f>
        <v>0</v>
      </c>
      <c r="W6" s="3">
        <f>SUMIFS('2025-2026 Tracker'!$K$2:$K$5000,'2025-2026 Tracker'!$A$2:$A$5000,"&gt;="&amp;W3,'2025-2026 Tracker'!$A$2:$A$5000,"&lt;="&amp;EOMONTH(W3,0),'2025-2026 Tracker'!$B$2:$B$5000,"Income",'2025-2026 Tracker'!$C$2:$C$5000,"Retainers")</f>
        <v>0</v>
      </c>
      <c r="X6" s="3">
        <f>SUMIFS('2025-2026 Tracker'!$K$2:$K$5000,'2025-2026 Tracker'!$A$2:$A$5000,"&gt;="&amp;X3,'2025-2026 Tracker'!$A$2:$A$5000,"&lt;="&amp;EOMONTH(X3,0),'2025-2026 Tracker'!$B$2:$B$5000,"Income",'2025-2026 Tracker'!$C$2:$C$5000,"Retainers")</f>
        <v>0</v>
      </c>
      <c r="Y6" s="3">
        <f>SUMIFS('2025-2026 Tracker'!$K$2:$K$5000,'2025-2026 Tracker'!$A$2:$A$5000,"&gt;="&amp;Y3,'2025-2026 Tracker'!$A$2:$A$5000,"&lt;="&amp;EOMONTH(Y3,0),'2025-2026 Tracker'!$B$2:$B$5000,"Income",'2025-2026 Tracker'!$C$2:$C$5000,"Retainers")</f>
        <v>0</v>
      </c>
      <c r="Z6" s="3">
        <f>SUMIFS('2025-2026 Tracker'!$K$2:$K$5000,'2025-2026 Tracker'!$A$2:$A$5000,"&gt;="&amp;Z3,'2025-2026 Tracker'!$A$2:$A$5000,"&lt;="&amp;EOMONTH(Z3,0),'2025-2026 Tracker'!$B$2:$B$5000,"Income",'2025-2026 Tracker'!$C$2:$C$5000,"Retainers")</f>
        <v>0</v>
      </c>
      <c r="AA6" s="16">
        <f t="shared" si="2"/>
        <v>0</v>
      </c>
    </row>
    <row r="7">
      <c r="A7" s="14" t="s">
        <v>76</v>
      </c>
      <c r="B7" s="8"/>
      <c r="C7" s="15">
        <f>SUMIFS('2025-2026 Tracker'!$K$2:$K$5000,'2025-2026 Tracker'!$A$2:$A$5000,"&gt;="&amp;C3,'2025-2026 Tracker'!$A$2:$A$5000,"&lt;="&amp;EOMONTH(C3,0),'2025-2026 Tracker'!$B$2:$B$5000,"Income",'2025-2026 Tracker'!$C$2:$C$5000,"Grants")</f>
        <v>0</v>
      </c>
      <c r="D7" s="15">
        <f>SUMIFS('2025-2026 Tracker'!$K$2:$K$5000,'2025-2026 Tracker'!$A$2:$A$5000,"&gt;="&amp;D3,'2025-2026 Tracker'!$A$2:$A$5000,"&lt;="&amp;EOMONTH(D3,0),'2025-2026 Tracker'!$B$2:$B$5000,"Income",'2025-2026 Tracker'!$C$2:$C$5000,"Grants")</f>
        <v>0</v>
      </c>
      <c r="E7" s="15">
        <f>SUMIFS('2025-2026 Tracker'!$K$2:$K$5000,'2025-2026 Tracker'!$A$2:$A$5000,"&gt;="&amp;E3,'2025-2026 Tracker'!$A$2:$A$5000,"&lt;="&amp;EOMONTH(E3,0),'2025-2026 Tracker'!$B$2:$B$5000,"Income",'2025-2026 Tracker'!$C$2:$C$5000,"Grants")</f>
        <v>0</v>
      </c>
      <c r="F7" s="15">
        <f>SUMIFS('2025-2026 Tracker'!$K$2:$K$5000,'2025-2026 Tracker'!$A$2:$A$5000,"&gt;="&amp;F3,'2025-2026 Tracker'!$A$2:$A$5000,"&lt;="&amp;EOMONTH(F3,0),'2025-2026 Tracker'!$B$2:$B$5000,"Income",'2025-2026 Tracker'!$C$2:$C$5000,"Grants")</f>
        <v>0</v>
      </c>
      <c r="G7" s="15">
        <f>SUMIFS('2025-2026 Tracker'!$K$2:$K$5000,'2025-2026 Tracker'!$A$2:$A$5000,"&gt;="&amp;G3,'2025-2026 Tracker'!$A$2:$A$5000,"&lt;="&amp;EOMONTH(G3,0),'2025-2026 Tracker'!$B$2:$B$5000,"Income",'2025-2026 Tracker'!$C$2:$C$5000,"Grants")</f>
        <v>0</v>
      </c>
      <c r="H7" s="15">
        <f>SUMIFS('2025-2026 Tracker'!$K$2:$K$5000,'2025-2026 Tracker'!$A$2:$A$5000,"&gt;="&amp;H3,'2025-2026 Tracker'!$A$2:$A$5000,"&lt;="&amp;EOMONTH(H3,0),'2025-2026 Tracker'!$B$2:$B$5000,"Income",'2025-2026 Tracker'!$C$2:$C$5000,"Grants")</f>
        <v>0</v>
      </c>
      <c r="I7" s="15">
        <f>SUMIFS('2025-2026 Tracker'!$K$2:$K$5000,'2025-2026 Tracker'!$A$2:$A$5000,"&gt;="&amp;I3,'2025-2026 Tracker'!$A$2:$A$5000,"&lt;="&amp;EOMONTH(I3,0),'2025-2026 Tracker'!$B$2:$B$5000,"Income",'2025-2026 Tracker'!$C$2:$C$5000,"Grants")</f>
        <v>0</v>
      </c>
      <c r="J7" s="15">
        <f>SUMIFS('2025-2026 Tracker'!$K$2:$K$5000,'2025-2026 Tracker'!$A$2:$A$5000,"&gt;="&amp;J3,'2025-2026 Tracker'!$A$2:$A$5000,"&lt;="&amp;EOMONTH(J3,0),'2025-2026 Tracker'!$B$2:$B$5000,"Income",'2025-2026 Tracker'!$C$2:$C$5000,"Grants")</f>
        <v>0</v>
      </c>
      <c r="K7" s="15">
        <f>SUMIFS('2025-2026 Tracker'!$K$2:$K$5000,'2025-2026 Tracker'!$A$2:$A$5000,"&gt;="&amp;K3,'2025-2026 Tracker'!$A$2:$A$5000,"&lt;="&amp;EOMONTH(K3,0),'2025-2026 Tracker'!$B$2:$B$5000,"Income",'2025-2026 Tracker'!$C$2:$C$5000,"Grants")</f>
        <v>0</v>
      </c>
      <c r="L7" s="15">
        <f>SUMIFS('2025-2026 Tracker'!$K$2:$K$5000,'2025-2026 Tracker'!$A$2:$A$5000,"&gt;="&amp;L3,'2025-2026 Tracker'!$A$2:$A$5000,"&lt;="&amp;EOMONTH(L3,0),'2025-2026 Tracker'!$B$2:$B$5000,"Income",'2025-2026 Tracker'!$C$2:$C$5000,"Grants")</f>
        <v>0</v>
      </c>
      <c r="M7" s="15">
        <f>SUMIFS('2025-2026 Tracker'!$K$2:$K$5000,'2025-2026 Tracker'!$A$2:$A$5000,"&gt;="&amp;M3,'2025-2026 Tracker'!$A$2:$A$5000,"&lt;="&amp;EOMONTH(M3,0),'2025-2026 Tracker'!$B$2:$B$5000,"Income",'2025-2026 Tracker'!$C$2:$C$5000,"Grants")</f>
        <v>0</v>
      </c>
      <c r="N7" s="15">
        <f>SUMIFS('2025-2026 Tracker'!$K$2:$K$5000,'2025-2026 Tracker'!$A$2:$A$5000,"&gt;="&amp;N3,'2025-2026 Tracker'!$A$2:$A$5000,"&lt;="&amp;EOMONTH(N3,0),'2025-2026 Tracker'!$B$2:$B$5000,"Income",'2025-2026 Tracker'!$C$2:$C$5000,"Grants")</f>
        <v>0</v>
      </c>
      <c r="O7" s="3">
        <f>SUMIFS('2025-2026 Tracker'!$K$2:$K$5000,'2025-2026 Tracker'!$A$2:$A$5000,"&gt;="&amp;O3,'2025-2026 Tracker'!$A$2:$A$5000,"&lt;="&amp;EOMONTH(O3,0),'2025-2026 Tracker'!$B$2:$B$5000,"Income",'2025-2026 Tracker'!$C$2:$C$5000,"Grants")</f>
        <v>0</v>
      </c>
      <c r="P7" s="3">
        <f>SUMIFS('2025-2026 Tracker'!$K$2:$K$5000,'2025-2026 Tracker'!$A$2:$A$5000,"&gt;="&amp;P3,'2025-2026 Tracker'!$A$2:$A$5000,"&lt;="&amp;EOMONTH(P3,0),'2025-2026 Tracker'!$B$2:$B$5000,"Income",'2025-2026 Tracker'!$C$2:$C$5000,"Grants")</f>
        <v>0</v>
      </c>
      <c r="Q7" s="3">
        <f>SUMIFS('2025-2026 Tracker'!$K$2:$K$5000,'2025-2026 Tracker'!$A$2:$A$5000,"&gt;="&amp;Q3,'2025-2026 Tracker'!$A$2:$A$5000,"&lt;="&amp;EOMONTH(Q3,0),'2025-2026 Tracker'!$B$2:$B$5000,"Income",'2025-2026 Tracker'!$C$2:$C$5000,"Grants")</f>
        <v>0</v>
      </c>
      <c r="R7" s="3">
        <f>SUMIFS('2025-2026 Tracker'!$K$2:$K$5000,'2025-2026 Tracker'!$A$2:$A$5000,"&gt;="&amp;R3,'2025-2026 Tracker'!$A$2:$A$5000,"&lt;="&amp;EOMONTH(R3,0),'2025-2026 Tracker'!$B$2:$B$5000,"Income",'2025-2026 Tracker'!$C$2:$C$5000,"Grants")</f>
        <v>0</v>
      </c>
      <c r="S7" s="3">
        <f>SUMIFS('2025-2026 Tracker'!$K$2:$K$5000,'2025-2026 Tracker'!$A$2:$A$5000,"&gt;="&amp;S3,'2025-2026 Tracker'!$A$2:$A$5000,"&lt;="&amp;EOMONTH(S3,0),'2025-2026 Tracker'!$B$2:$B$5000,"Income",'2025-2026 Tracker'!$C$2:$C$5000,"Grants")</f>
        <v>0</v>
      </c>
      <c r="T7" s="3">
        <f>SUMIFS('2025-2026 Tracker'!$K$2:$K$5000,'2025-2026 Tracker'!$A$2:$A$5000,"&gt;="&amp;T3,'2025-2026 Tracker'!$A$2:$A$5000,"&lt;="&amp;EOMONTH(T3,0),'2025-2026 Tracker'!$B$2:$B$5000,"Income",'2025-2026 Tracker'!$C$2:$C$5000,"Grants")</f>
        <v>0</v>
      </c>
      <c r="U7" s="3">
        <f>SUMIFS('2025-2026 Tracker'!$K$2:$K$5000,'2025-2026 Tracker'!$A$2:$A$5000,"&gt;="&amp;U3,'2025-2026 Tracker'!$A$2:$A$5000,"&lt;="&amp;EOMONTH(U3,0),'2025-2026 Tracker'!$B$2:$B$5000,"Income",'2025-2026 Tracker'!$C$2:$C$5000,"Grants")</f>
        <v>0</v>
      </c>
      <c r="V7" s="3">
        <f>SUMIFS('2025-2026 Tracker'!$K$2:$K$5000,'2025-2026 Tracker'!$A$2:$A$5000,"&gt;="&amp;V3,'2025-2026 Tracker'!$A$2:$A$5000,"&lt;="&amp;EOMONTH(V3,0),'2025-2026 Tracker'!$B$2:$B$5000,"Income",'2025-2026 Tracker'!$C$2:$C$5000,"Grants")</f>
        <v>0</v>
      </c>
      <c r="W7" s="3">
        <f>SUMIFS('2025-2026 Tracker'!$K$2:$K$5000,'2025-2026 Tracker'!$A$2:$A$5000,"&gt;="&amp;W3,'2025-2026 Tracker'!$A$2:$A$5000,"&lt;="&amp;EOMONTH(W3,0),'2025-2026 Tracker'!$B$2:$B$5000,"Income",'2025-2026 Tracker'!$C$2:$C$5000,"Grants")</f>
        <v>0</v>
      </c>
      <c r="X7" s="3">
        <f>SUMIFS('2025-2026 Tracker'!$K$2:$K$5000,'2025-2026 Tracker'!$A$2:$A$5000,"&gt;="&amp;X3,'2025-2026 Tracker'!$A$2:$A$5000,"&lt;="&amp;EOMONTH(X3,0),'2025-2026 Tracker'!$B$2:$B$5000,"Income",'2025-2026 Tracker'!$C$2:$C$5000,"Grants")</f>
        <v>0</v>
      </c>
      <c r="Y7" s="3">
        <f>SUMIFS('2025-2026 Tracker'!$K$2:$K$5000,'2025-2026 Tracker'!$A$2:$A$5000,"&gt;="&amp;Y3,'2025-2026 Tracker'!$A$2:$A$5000,"&lt;="&amp;EOMONTH(Y3,0),'2025-2026 Tracker'!$B$2:$B$5000,"Income",'2025-2026 Tracker'!$C$2:$C$5000,"Grants")</f>
        <v>0</v>
      </c>
      <c r="Z7" s="3">
        <f>SUMIFS('2025-2026 Tracker'!$K$2:$K$5000,'2025-2026 Tracker'!$A$2:$A$5000,"&gt;="&amp;Z3,'2025-2026 Tracker'!$A$2:$A$5000,"&lt;="&amp;EOMONTH(Z3,0),'2025-2026 Tracker'!$B$2:$B$5000,"Income",'2025-2026 Tracker'!$C$2:$C$5000,"Grants")</f>
        <v>0</v>
      </c>
      <c r="AA7" s="16">
        <f t="shared" si="2"/>
        <v>0</v>
      </c>
    </row>
    <row r="8">
      <c r="A8" s="14" t="s">
        <v>77</v>
      </c>
      <c r="B8" s="8"/>
      <c r="C8" s="15">
        <f>SUMIFS('2025-2026 Tracker'!$K$2:$K$5000,'2025-2026 Tracker'!$A$2:$A$5000,"&gt;="&amp;C3,'2025-2026 Tracker'!$A$2:$A$5000,"&lt;="&amp;EOMONTH(C3,0),'2025-2026 Tracker'!$B$2:$B$5000,"Income",'2025-2026 Tracker'!$C$2:$C$5000,"Consulting/Services")</f>
        <v>0</v>
      </c>
      <c r="D8" s="15">
        <f>SUMIFS('2025-2026 Tracker'!$K$2:$K$5000,'2025-2026 Tracker'!$A$2:$A$5000,"&gt;="&amp;D3,'2025-2026 Tracker'!$A$2:$A$5000,"&lt;="&amp;EOMONTH(D3,0),'2025-2026 Tracker'!$B$2:$B$5000,"Income",'2025-2026 Tracker'!$C$2:$C$5000,"Consulting/Services")</f>
        <v>0</v>
      </c>
      <c r="E8" s="15">
        <f>SUMIFS('2025-2026 Tracker'!$K$2:$K$5000,'2025-2026 Tracker'!$A$2:$A$5000,"&gt;="&amp;E3,'2025-2026 Tracker'!$A$2:$A$5000,"&lt;="&amp;EOMONTH(E3,0),'2025-2026 Tracker'!$B$2:$B$5000,"Income",'2025-2026 Tracker'!$C$2:$C$5000,"Consulting/Services")</f>
        <v>0</v>
      </c>
      <c r="F8" s="15">
        <f>SUMIFS('2025-2026 Tracker'!$K$2:$K$5000,'2025-2026 Tracker'!$A$2:$A$5000,"&gt;="&amp;F3,'2025-2026 Tracker'!$A$2:$A$5000,"&lt;="&amp;EOMONTH(F3,0),'2025-2026 Tracker'!$B$2:$B$5000,"Income",'2025-2026 Tracker'!$C$2:$C$5000,"Consulting/Services")</f>
        <v>0</v>
      </c>
      <c r="G8" s="15">
        <f>SUMIFS('2025-2026 Tracker'!$K$2:$K$5000,'2025-2026 Tracker'!$A$2:$A$5000,"&gt;="&amp;G3,'2025-2026 Tracker'!$A$2:$A$5000,"&lt;="&amp;EOMONTH(G3,0),'2025-2026 Tracker'!$B$2:$B$5000,"Income",'2025-2026 Tracker'!$C$2:$C$5000,"Consulting/Services")</f>
        <v>0</v>
      </c>
      <c r="H8" s="15">
        <f>SUMIFS('2025-2026 Tracker'!$K$2:$K$5000,'2025-2026 Tracker'!$A$2:$A$5000,"&gt;="&amp;H3,'2025-2026 Tracker'!$A$2:$A$5000,"&lt;="&amp;EOMONTH(H3,0),'2025-2026 Tracker'!$B$2:$B$5000,"Income",'2025-2026 Tracker'!$C$2:$C$5000,"Consulting/Services")</f>
        <v>0</v>
      </c>
      <c r="I8" s="15">
        <f>SUMIFS('2025-2026 Tracker'!$K$2:$K$5000,'2025-2026 Tracker'!$A$2:$A$5000,"&gt;="&amp;I3,'2025-2026 Tracker'!$A$2:$A$5000,"&lt;="&amp;EOMONTH(I3,0),'2025-2026 Tracker'!$B$2:$B$5000,"Income",'2025-2026 Tracker'!$C$2:$C$5000,"Consulting/Services")</f>
        <v>0</v>
      </c>
      <c r="J8" s="15">
        <f>SUMIFS('2025-2026 Tracker'!$K$2:$K$5000,'2025-2026 Tracker'!$A$2:$A$5000,"&gt;="&amp;J3,'2025-2026 Tracker'!$A$2:$A$5000,"&lt;="&amp;EOMONTH(J3,0),'2025-2026 Tracker'!$B$2:$B$5000,"Income",'2025-2026 Tracker'!$C$2:$C$5000,"Consulting/Services")</f>
        <v>0</v>
      </c>
      <c r="K8" s="15">
        <f>SUMIFS('2025-2026 Tracker'!$K$2:$K$5000,'2025-2026 Tracker'!$A$2:$A$5000,"&gt;="&amp;K3,'2025-2026 Tracker'!$A$2:$A$5000,"&lt;="&amp;EOMONTH(K3,0),'2025-2026 Tracker'!$B$2:$B$5000,"Income",'2025-2026 Tracker'!$C$2:$C$5000,"Consulting/Services")</f>
        <v>0</v>
      </c>
      <c r="L8" s="15">
        <f>SUMIFS('2025-2026 Tracker'!$K$2:$K$5000,'2025-2026 Tracker'!$A$2:$A$5000,"&gt;="&amp;L3,'2025-2026 Tracker'!$A$2:$A$5000,"&lt;="&amp;EOMONTH(L3,0),'2025-2026 Tracker'!$B$2:$B$5000,"Income",'2025-2026 Tracker'!$C$2:$C$5000,"Consulting/Services")</f>
        <v>0</v>
      </c>
      <c r="M8" s="15">
        <f>SUMIFS('2025-2026 Tracker'!$K$2:$K$5000,'2025-2026 Tracker'!$A$2:$A$5000,"&gt;="&amp;M3,'2025-2026 Tracker'!$A$2:$A$5000,"&lt;="&amp;EOMONTH(M3,0),'2025-2026 Tracker'!$B$2:$B$5000,"Income",'2025-2026 Tracker'!$C$2:$C$5000,"Consulting/Services")</f>
        <v>0</v>
      </c>
      <c r="N8" s="15">
        <f>SUMIFS('2025-2026 Tracker'!$K$2:$K$5000,'2025-2026 Tracker'!$A$2:$A$5000,"&gt;="&amp;N3,'2025-2026 Tracker'!$A$2:$A$5000,"&lt;="&amp;EOMONTH(N3,0),'2025-2026 Tracker'!$B$2:$B$5000,"Income",'2025-2026 Tracker'!$C$2:$C$5000,"Consulting/Services")</f>
        <v>0</v>
      </c>
      <c r="O8" s="3">
        <f>SUMIFS('2025-2026 Tracker'!$K$2:$K$5000,'2025-2026 Tracker'!$A$2:$A$5000,"&gt;="&amp;O3,'2025-2026 Tracker'!$A$2:$A$5000,"&lt;="&amp;EOMONTH(O3,0),'2025-2026 Tracker'!$B$2:$B$5000,"Income",'2025-2026 Tracker'!$C$2:$C$5000,"Consulting/Services")</f>
        <v>0</v>
      </c>
      <c r="P8" s="3">
        <f>SUMIFS('2025-2026 Tracker'!$K$2:$K$5000,'2025-2026 Tracker'!$A$2:$A$5000,"&gt;="&amp;P3,'2025-2026 Tracker'!$A$2:$A$5000,"&lt;="&amp;EOMONTH(P3,0),'2025-2026 Tracker'!$B$2:$B$5000,"Income",'2025-2026 Tracker'!$C$2:$C$5000,"Consulting/Services")</f>
        <v>0</v>
      </c>
      <c r="Q8" s="3">
        <f>SUMIFS('2025-2026 Tracker'!$K$2:$K$5000,'2025-2026 Tracker'!$A$2:$A$5000,"&gt;="&amp;Q3,'2025-2026 Tracker'!$A$2:$A$5000,"&lt;="&amp;EOMONTH(Q3,0),'2025-2026 Tracker'!$B$2:$B$5000,"Income",'2025-2026 Tracker'!$C$2:$C$5000,"Consulting/Services")</f>
        <v>0</v>
      </c>
      <c r="R8" s="3">
        <f>SUMIFS('2025-2026 Tracker'!$K$2:$K$5000,'2025-2026 Tracker'!$A$2:$A$5000,"&gt;="&amp;R3,'2025-2026 Tracker'!$A$2:$A$5000,"&lt;="&amp;EOMONTH(R3,0),'2025-2026 Tracker'!$B$2:$B$5000,"Income",'2025-2026 Tracker'!$C$2:$C$5000,"Consulting/Services")</f>
        <v>0</v>
      </c>
      <c r="S8" s="3">
        <f>SUMIFS('2025-2026 Tracker'!$K$2:$K$5000,'2025-2026 Tracker'!$A$2:$A$5000,"&gt;="&amp;S3,'2025-2026 Tracker'!$A$2:$A$5000,"&lt;="&amp;EOMONTH(S3,0),'2025-2026 Tracker'!$B$2:$B$5000,"Income",'2025-2026 Tracker'!$C$2:$C$5000,"Consulting/Services")</f>
        <v>0</v>
      </c>
      <c r="T8" s="3">
        <f>SUMIFS('2025-2026 Tracker'!$K$2:$K$5000,'2025-2026 Tracker'!$A$2:$A$5000,"&gt;="&amp;T3,'2025-2026 Tracker'!$A$2:$A$5000,"&lt;="&amp;EOMONTH(T3,0),'2025-2026 Tracker'!$B$2:$B$5000,"Income",'2025-2026 Tracker'!$C$2:$C$5000,"Consulting/Services")</f>
        <v>0</v>
      </c>
      <c r="U8" s="3">
        <f>SUMIFS('2025-2026 Tracker'!$K$2:$K$5000,'2025-2026 Tracker'!$A$2:$A$5000,"&gt;="&amp;U3,'2025-2026 Tracker'!$A$2:$A$5000,"&lt;="&amp;EOMONTH(U3,0),'2025-2026 Tracker'!$B$2:$B$5000,"Income",'2025-2026 Tracker'!$C$2:$C$5000,"Consulting/Services")</f>
        <v>0</v>
      </c>
      <c r="V8" s="3">
        <f>SUMIFS('2025-2026 Tracker'!$K$2:$K$5000,'2025-2026 Tracker'!$A$2:$A$5000,"&gt;="&amp;V3,'2025-2026 Tracker'!$A$2:$A$5000,"&lt;="&amp;EOMONTH(V3,0),'2025-2026 Tracker'!$B$2:$B$5000,"Income",'2025-2026 Tracker'!$C$2:$C$5000,"Consulting/Services")</f>
        <v>0</v>
      </c>
      <c r="W8" s="3">
        <f>SUMIFS('2025-2026 Tracker'!$K$2:$K$5000,'2025-2026 Tracker'!$A$2:$A$5000,"&gt;="&amp;W3,'2025-2026 Tracker'!$A$2:$A$5000,"&lt;="&amp;EOMONTH(W3,0),'2025-2026 Tracker'!$B$2:$B$5000,"Income",'2025-2026 Tracker'!$C$2:$C$5000,"Consulting/Services")</f>
        <v>0</v>
      </c>
      <c r="X8" s="3">
        <f>SUMIFS('2025-2026 Tracker'!$K$2:$K$5000,'2025-2026 Tracker'!$A$2:$A$5000,"&gt;="&amp;X3,'2025-2026 Tracker'!$A$2:$A$5000,"&lt;="&amp;EOMONTH(X3,0),'2025-2026 Tracker'!$B$2:$B$5000,"Income",'2025-2026 Tracker'!$C$2:$C$5000,"Consulting/Services")</f>
        <v>0</v>
      </c>
      <c r="Y8" s="3">
        <f>SUMIFS('2025-2026 Tracker'!$K$2:$K$5000,'2025-2026 Tracker'!$A$2:$A$5000,"&gt;="&amp;Y3,'2025-2026 Tracker'!$A$2:$A$5000,"&lt;="&amp;EOMONTH(Y3,0),'2025-2026 Tracker'!$B$2:$B$5000,"Income",'2025-2026 Tracker'!$C$2:$C$5000,"Consulting/Services")</f>
        <v>0</v>
      </c>
      <c r="Z8" s="3">
        <f>SUMIFS('2025-2026 Tracker'!$K$2:$K$5000,'2025-2026 Tracker'!$A$2:$A$5000,"&gt;="&amp;Z3,'2025-2026 Tracker'!$A$2:$A$5000,"&lt;="&amp;EOMONTH(Z3,0),'2025-2026 Tracker'!$B$2:$B$5000,"Income",'2025-2026 Tracker'!$C$2:$C$5000,"Consulting/Services")</f>
        <v>0</v>
      </c>
      <c r="AA8" s="16">
        <f t="shared" si="2"/>
        <v>0</v>
      </c>
    </row>
    <row r="9">
      <c r="A9" s="14" t="s">
        <v>78</v>
      </c>
      <c r="B9" s="8"/>
      <c r="C9" s="15">
        <f>SUMIFS('2025-2026 Tracker'!$K$2:$K$5000,'2025-2026 Tracker'!$A$2:$A$5000,"&gt;="&amp;C3,'2025-2026 Tracker'!$A$2:$A$5000,"&lt;="&amp;EOMONTH(C3,0),'2025-2026 Tracker'!$B$2:$B$5000,"Income",'2025-2026 Tracker'!$C$2:$C$5000,"Other income")</f>
        <v>0</v>
      </c>
      <c r="D9" s="15">
        <f>SUMIFS('2025-2026 Tracker'!$K$2:$K$5000,'2025-2026 Tracker'!$A$2:$A$5000,"&gt;="&amp;D3,'2025-2026 Tracker'!$A$2:$A$5000,"&lt;="&amp;EOMONTH(D3,0),'2025-2026 Tracker'!$B$2:$B$5000,"Income",'2025-2026 Tracker'!$C$2:$C$5000,"Other income")</f>
        <v>0</v>
      </c>
      <c r="E9" s="15">
        <f>SUMIFS('2025-2026 Tracker'!$K$2:$K$5000,'2025-2026 Tracker'!$A$2:$A$5000,"&gt;="&amp;E3,'2025-2026 Tracker'!$A$2:$A$5000,"&lt;="&amp;EOMONTH(E3,0),'2025-2026 Tracker'!$B$2:$B$5000,"Income",'2025-2026 Tracker'!$C$2:$C$5000,"Other income")</f>
        <v>0</v>
      </c>
      <c r="F9" s="15">
        <f>SUMIFS('2025-2026 Tracker'!$K$2:$K$5000,'2025-2026 Tracker'!$A$2:$A$5000,"&gt;="&amp;F3,'2025-2026 Tracker'!$A$2:$A$5000,"&lt;="&amp;EOMONTH(F3,0),'2025-2026 Tracker'!$B$2:$B$5000,"Income",'2025-2026 Tracker'!$C$2:$C$5000,"Other income")</f>
        <v>0</v>
      </c>
      <c r="G9" s="15">
        <f>SUMIFS('2025-2026 Tracker'!$K$2:$K$5000,'2025-2026 Tracker'!$A$2:$A$5000,"&gt;="&amp;G3,'2025-2026 Tracker'!$A$2:$A$5000,"&lt;="&amp;EOMONTH(G3,0),'2025-2026 Tracker'!$B$2:$B$5000,"Income",'2025-2026 Tracker'!$C$2:$C$5000,"Other income")</f>
        <v>0</v>
      </c>
      <c r="H9" s="15">
        <f>SUMIFS('2025-2026 Tracker'!$K$2:$K$5000,'2025-2026 Tracker'!$A$2:$A$5000,"&gt;="&amp;H3,'2025-2026 Tracker'!$A$2:$A$5000,"&lt;="&amp;EOMONTH(H3,0),'2025-2026 Tracker'!$B$2:$B$5000,"Income",'2025-2026 Tracker'!$C$2:$C$5000,"Other income")</f>
        <v>0</v>
      </c>
      <c r="I9" s="15">
        <f>SUMIFS('2025-2026 Tracker'!$K$2:$K$5000,'2025-2026 Tracker'!$A$2:$A$5000,"&gt;="&amp;I3,'2025-2026 Tracker'!$A$2:$A$5000,"&lt;="&amp;EOMONTH(I3,0),'2025-2026 Tracker'!$B$2:$B$5000,"Income",'2025-2026 Tracker'!$C$2:$C$5000,"Other income")</f>
        <v>0</v>
      </c>
      <c r="J9" s="15">
        <f>SUMIFS('2025-2026 Tracker'!$K$2:$K$5000,'2025-2026 Tracker'!$A$2:$A$5000,"&gt;="&amp;J3,'2025-2026 Tracker'!$A$2:$A$5000,"&lt;="&amp;EOMONTH(J3,0),'2025-2026 Tracker'!$B$2:$B$5000,"Income",'2025-2026 Tracker'!$C$2:$C$5000,"Other income")</f>
        <v>0</v>
      </c>
      <c r="K9" s="15">
        <f>SUMIFS('2025-2026 Tracker'!$K$2:$K$5000,'2025-2026 Tracker'!$A$2:$A$5000,"&gt;="&amp;K3,'2025-2026 Tracker'!$A$2:$A$5000,"&lt;="&amp;EOMONTH(K3,0),'2025-2026 Tracker'!$B$2:$B$5000,"Income",'2025-2026 Tracker'!$C$2:$C$5000,"Other income")</f>
        <v>0</v>
      </c>
      <c r="L9" s="15">
        <f>SUMIFS('2025-2026 Tracker'!$K$2:$K$5000,'2025-2026 Tracker'!$A$2:$A$5000,"&gt;="&amp;L3,'2025-2026 Tracker'!$A$2:$A$5000,"&lt;="&amp;EOMONTH(L3,0),'2025-2026 Tracker'!$B$2:$B$5000,"Income",'2025-2026 Tracker'!$C$2:$C$5000,"Other income")</f>
        <v>0</v>
      </c>
      <c r="M9" s="15">
        <f>SUMIFS('2025-2026 Tracker'!$K$2:$K$5000,'2025-2026 Tracker'!$A$2:$A$5000,"&gt;="&amp;M3,'2025-2026 Tracker'!$A$2:$A$5000,"&lt;="&amp;EOMONTH(M3,0),'2025-2026 Tracker'!$B$2:$B$5000,"Income",'2025-2026 Tracker'!$C$2:$C$5000,"Other income")</f>
        <v>0</v>
      </c>
      <c r="N9" s="15">
        <f>SUMIFS('2025-2026 Tracker'!$K$2:$K$5000,'2025-2026 Tracker'!$A$2:$A$5000,"&gt;="&amp;N3,'2025-2026 Tracker'!$A$2:$A$5000,"&lt;="&amp;EOMONTH(N3,0),'2025-2026 Tracker'!$B$2:$B$5000,"Income",'2025-2026 Tracker'!$C$2:$C$5000,"Other income")</f>
        <v>0</v>
      </c>
      <c r="O9" s="3">
        <f>SUMIFS('2025-2026 Tracker'!$K$2:$K$5000,'2025-2026 Tracker'!$A$2:$A$5000,"&gt;="&amp;O3,'2025-2026 Tracker'!$A$2:$A$5000,"&lt;="&amp;EOMONTH(O3,0),'2025-2026 Tracker'!$B$2:$B$5000,"Income",'2025-2026 Tracker'!$C$2:$C$5000,"Other income")</f>
        <v>0</v>
      </c>
      <c r="P9" s="3">
        <f>SUMIFS('2025-2026 Tracker'!$K$2:$K$5000,'2025-2026 Tracker'!$A$2:$A$5000,"&gt;="&amp;P3,'2025-2026 Tracker'!$A$2:$A$5000,"&lt;="&amp;EOMONTH(P3,0),'2025-2026 Tracker'!$B$2:$B$5000,"Income",'2025-2026 Tracker'!$C$2:$C$5000,"Other income")</f>
        <v>0</v>
      </c>
      <c r="Q9" s="3">
        <f>SUMIFS('2025-2026 Tracker'!$K$2:$K$5000,'2025-2026 Tracker'!$A$2:$A$5000,"&gt;="&amp;Q3,'2025-2026 Tracker'!$A$2:$A$5000,"&lt;="&amp;EOMONTH(Q3,0),'2025-2026 Tracker'!$B$2:$B$5000,"Income",'2025-2026 Tracker'!$C$2:$C$5000,"Other income")</f>
        <v>0</v>
      </c>
      <c r="R9" s="3">
        <f>SUMIFS('2025-2026 Tracker'!$K$2:$K$5000,'2025-2026 Tracker'!$A$2:$A$5000,"&gt;="&amp;R3,'2025-2026 Tracker'!$A$2:$A$5000,"&lt;="&amp;EOMONTH(R3,0),'2025-2026 Tracker'!$B$2:$B$5000,"Income",'2025-2026 Tracker'!$C$2:$C$5000,"Other income")</f>
        <v>0</v>
      </c>
      <c r="S9" s="3">
        <f>SUMIFS('2025-2026 Tracker'!$K$2:$K$5000,'2025-2026 Tracker'!$A$2:$A$5000,"&gt;="&amp;S3,'2025-2026 Tracker'!$A$2:$A$5000,"&lt;="&amp;EOMONTH(S3,0),'2025-2026 Tracker'!$B$2:$B$5000,"Income",'2025-2026 Tracker'!$C$2:$C$5000,"Other income")</f>
        <v>0</v>
      </c>
      <c r="T9" s="3">
        <f>SUMIFS('2025-2026 Tracker'!$K$2:$K$5000,'2025-2026 Tracker'!$A$2:$A$5000,"&gt;="&amp;T3,'2025-2026 Tracker'!$A$2:$A$5000,"&lt;="&amp;EOMONTH(T3,0),'2025-2026 Tracker'!$B$2:$B$5000,"Income",'2025-2026 Tracker'!$C$2:$C$5000,"Other income")</f>
        <v>0</v>
      </c>
      <c r="U9" s="3">
        <f>SUMIFS('2025-2026 Tracker'!$K$2:$K$5000,'2025-2026 Tracker'!$A$2:$A$5000,"&gt;="&amp;U3,'2025-2026 Tracker'!$A$2:$A$5000,"&lt;="&amp;EOMONTH(U3,0),'2025-2026 Tracker'!$B$2:$B$5000,"Income",'2025-2026 Tracker'!$C$2:$C$5000,"Other income")</f>
        <v>0</v>
      </c>
      <c r="V9" s="3">
        <f>SUMIFS('2025-2026 Tracker'!$K$2:$K$5000,'2025-2026 Tracker'!$A$2:$A$5000,"&gt;="&amp;V3,'2025-2026 Tracker'!$A$2:$A$5000,"&lt;="&amp;EOMONTH(V3,0),'2025-2026 Tracker'!$B$2:$B$5000,"Income",'2025-2026 Tracker'!$C$2:$C$5000,"Other income")</f>
        <v>0</v>
      </c>
      <c r="W9" s="3">
        <f>SUMIFS('2025-2026 Tracker'!$K$2:$K$5000,'2025-2026 Tracker'!$A$2:$A$5000,"&gt;="&amp;W3,'2025-2026 Tracker'!$A$2:$A$5000,"&lt;="&amp;EOMONTH(W3,0),'2025-2026 Tracker'!$B$2:$B$5000,"Income",'2025-2026 Tracker'!$C$2:$C$5000,"Other income")</f>
        <v>0</v>
      </c>
      <c r="X9" s="3">
        <f>SUMIFS('2025-2026 Tracker'!$K$2:$K$5000,'2025-2026 Tracker'!$A$2:$A$5000,"&gt;="&amp;X3,'2025-2026 Tracker'!$A$2:$A$5000,"&lt;="&amp;EOMONTH(X3,0),'2025-2026 Tracker'!$B$2:$B$5000,"Income",'2025-2026 Tracker'!$C$2:$C$5000,"Other income")</f>
        <v>0</v>
      </c>
      <c r="Y9" s="3">
        <f>SUMIFS('2025-2026 Tracker'!$K$2:$K$5000,'2025-2026 Tracker'!$A$2:$A$5000,"&gt;="&amp;Y3,'2025-2026 Tracker'!$A$2:$A$5000,"&lt;="&amp;EOMONTH(Y3,0),'2025-2026 Tracker'!$B$2:$B$5000,"Income",'2025-2026 Tracker'!$C$2:$C$5000,"Other income")</f>
        <v>0</v>
      </c>
      <c r="Z9" s="3">
        <f>SUMIFS('2025-2026 Tracker'!$K$2:$K$5000,'2025-2026 Tracker'!$A$2:$A$5000,"&gt;="&amp;Z3,'2025-2026 Tracker'!$A$2:$A$5000,"&lt;="&amp;EOMONTH(Z3,0),'2025-2026 Tracker'!$B$2:$B$5000,"Income",'2025-2026 Tracker'!$C$2:$C$5000,"Other income")</f>
        <v>0</v>
      </c>
      <c r="AA9" s="16">
        <f t="shared" si="2"/>
        <v>0</v>
      </c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AA10" s="8"/>
    </row>
    <row r="11">
      <c r="A11" s="11" t="s">
        <v>79</v>
      </c>
      <c r="B11" s="12"/>
      <c r="C11" s="13">
        <f t="shared" ref="C11:N11" si="3">C12+C19</f>
        <v>13.92</v>
      </c>
      <c r="D11" s="13">
        <f t="shared" si="3"/>
        <v>59.6</v>
      </c>
      <c r="E11" s="13">
        <f t="shared" si="3"/>
        <v>13.92</v>
      </c>
      <c r="F11" s="13">
        <f t="shared" si="3"/>
        <v>13.92</v>
      </c>
      <c r="G11" s="13">
        <f t="shared" si="3"/>
        <v>13.92</v>
      </c>
      <c r="H11" s="13">
        <f t="shared" si="3"/>
        <v>13.92</v>
      </c>
      <c r="I11" s="13">
        <f t="shared" si="3"/>
        <v>13.92</v>
      </c>
      <c r="J11" s="13">
        <f t="shared" si="3"/>
        <v>13.92</v>
      </c>
      <c r="K11" s="13">
        <f t="shared" si="3"/>
        <v>13.92</v>
      </c>
      <c r="L11" s="13">
        <f t="shared" si="3"/>
        <v>13.92</v>
      </c>
      <c r="M11" s="13">
        <f t="shared" si="3"/>
        <v>13.92</v>
      </c>
      <c r="N11" s="13">
        <f t="shared" si="3"/>
        <v>13.92</v>
      </c>
      <c r="AA11" s="13">
        <f t="shared" ref="AA11:AA17" si="5">SUM(C11:Z11)</f>
        <v>212.72</v>
      </c>
    </row>
    <row r="12">
      <c r="A12" s="17" t="s">
        <v>80</v>
      </c>
      <c r="B12" s="8"/>
      <c r="C12" s="15">
        <f t="shared" ref="C12:N12" si="4">SUM(C13:C17)</f>
        <v>13.92</v>
      </c>
      <c r="D12" s="15">
        <f t="shared" si="4"/>
        <v>59.6</v>
      </c>
      <c r="E12" s="15">
        <f t="shared" si="4"/>
        <v>13.92</v>
      </c>
      <c r="F12" s="15">
        <f t="shared" si="4"/>
        <v>13.92</v>
      </c>
      <c r="G12" s="15">
        <f t="shared" si="4"/>
        <v>13.92</v>
      </c>
      <c r="H12" s="15">
        <f t="shared" si="4"/>
        <v>13.92</v>
      </c>
      <c r="I12" s="15">
        <f t="shared" si="4"/>
        <v>13.92</v>
      </c>
      <c r="J12" s="15">
        <f t="shared" si="4"/>
        <v>13.92</v>
      </c>
      <c r="K12" s="15">
        <f t="shared" si="4"/>
        <v>13.92</v>
      </c>
      <c r="L12" s="15">
        <f t="shared" si="4"/>
        <v>13.92</v>
      </c>
      <c r="M12" s="15">
        <f t="shared" si="4"/>
        <v>13.92</v>
      </c>
      <c r="N12" s="15">
        <f t="shared" si="4"/>
        <v>13.92</v>
      </c>
      <c r="AA12" s="18">
        <f t="shared" si="5"/>
        <v>212.72</v>
      </c>
    </row>
    <row r="13">
      <c r="A13" s="14" t="s">
        <v>81</v>
      </c>
      <c r="B13" s="8"/>
      <c r="C13" s="15">
        <f>SUMIFS('2025-2026 Tracker'!$K$2:$K$5000,'2025-2026 Tracker'!$A$2:$A$5000,"&gt;="&amp;C3,'2025-2026 Tracker'!$A$2:$A$5000,"&lt;="&amp;EOMONTH(C3,0),'2025-2026 Tracker'!$B$2:$B$5000,"Expense",'2025-2026 Tracker'!$C$2:$C$5000,"Fixed costs",'2025-2026 Tracker'!$D$2:$D$5000,"Obsidian Publish")</f>
        <v>0</v>
      </c>
      <c r="D13" s="15">
        <f>SUMIFS('2025-2026 Tracker'!$K$2:$K$5000,'2025-2026 Tracker'!$A$2:$A$5000,"&gt;="&amp;D3,'2025-2026 Tracker'!$A$2:$A$5000,"&lt;="&amp;EOMONTH(D3,0),'2025-2026 Tracker'!$B$2:$B$5000,"Expense",'2025-2026 Tracker'!$C$2:$C$5000,"Fixed costs",'2025-2026 Tracker'!$D$2:$D$5000,"Obsidian Publish")</f>
        <v>0</v>
      </c>
      <c r="E13" s="15">
        <f>SUMIFS('2025-2026 Tracker'!$K$2:$K$5000,'2025-2026 Tracker'!$A$2:$A$5000,"&gt;="&amp;E3,'2025-2026 Tracker'!$A$2:$A$5000,"&lt;="&amp;EOMONTH(E3,0),'2025-2026 Tracker'!$B$2:$B$5000,"Expense",'2025-2026 Tracker'!$C$2:$C$5000,"Fixed costs",'2025-2026 Tracker'!$D$2:$D$5000,"Obsidian Publish")</f>
        <v>0</v>
      </c>
      <c r="F13" s="15">
        <f>SUMIFS('2025-2026 Tracker'!$K$2:$K$5000,'2025-2026 Tracker'!$A$2:$A$5000,"&gt;="&amp;F3,'2025-2026 Tracker'!$A$2:$A$5000,"&lt;="&amp;EOMONTH(F3,0),'2025-2026 Tracker'!$B$2:$B$5000,"Expense",'2025-2026 Tracker'!$C$2:$C$5000,"Fixed costs",'2025-2026 Tracker'!$D$2:$D$5000,"Obsidian Publish")</f>
        <v>0</v>
      </c>
      <c r="G13" s="15">
        <f>SUMIFS('2025-2026 Tracker'!$K$2:$K$5000,'2025-2026 Tracker'!$A$2:$A$5000,"&gt;="&amp;G3,'2025-2026 Tracker'!$A$2:$A$5000,"&lt;="&amp;EOMONTH(G3,0),'2025-2026 Tracker'!$B$2:$B$5000,"Expense",'2025-2026 Tracker'!$C$2:$C$5000,"Fixed costs",'2025-2026 Tracker'!$D$2:$D$5000,"Obsidian Publish")</f>
        <v>0</v>
      </c>
      <c r="H13" s="15">
        <f>SUMIFS('2025-2026 Tracker'!$K$2:$K$5000,'2025-2026 Tracker'!$A$2:$A$5000,"&gt;="&amp;H3,'2025-2026 Tracker'!$A$2:$A$5000,"&lt;="&amp;EOMONTH(H3,0),'2025-2026 Tracker'!$B$2:$B$5000,"Expense",'2025-2026 Tracker'!$C$2:$C$5000,"Fixed costs",'2025-2026 Tracker'!$D$2:$D$5000,"Obsidian Publish")</f>
        <v>0</v>
      </c>
      <c r="I13" s="15">
        <f>SUMIFS('2025-2026 Tracker'!$K$2:$K$5000,'2025-2026 Tracker'!$A$2:$A$5000,"&gt;="&amp;I3,'2025-2026 Tracker'!$A$2:$A$5000,"&lt;="&amp;EOMONTH(I3,0),'2025-2026 Tracker'!$B$2:$B$5000,"Expense",'2025-2026 Tracker'!$C$2:$C$5000,"Fixed costs",'2025-2026 Tracker'!$D$2:$D$5000,"Obsidian Publish")</f>
        <v>0</v>
      </c>
      <c r="J13" s="15">
        <f>SUMIFS('2025-2026 Tracker'!$K$2:$K$5000,'2025-2026 Tracker'!$A$2:$A$5000,"&gt;="&amp;J3,'2025-2026 Tracker'!$A$2:$A$5000,"&lt;="&amp;EOMONTH(J3,0),'2025-2026 Tracker'!$B$2:$B$5000,"Expense",'2025-2026 Tracker'!$C$2:$C$5000,"Fixed costs",'2025-2026 Tracker'!$D$2:$D$5000,"Obsidian Publish")</f>
        <v>0</v>
      </c>
      <c r="K13" s="15">
        <f>SUMIFS('2025-2026 Tracker'!$K$2:$K$5000,'2025-2026 Tracker'!$A$2:$A$5000,"&gt;="&amp;K3,'2025-2026 Tracker'!$A$2:$A$5000,"&lt;="&amp;EOMONTH(K3,0),'2025-2026 Tracker'!$B$2:$B$5000,"Expense",'2025-2026 Tracker'!$C$2:$C$5000,"Fixed costs",'2025-2026 Tracker'!$D$2:$D$5000,"Obsidian Publish")</f>
        <v>0</v>
      </c>
      <c r="L13" s="15">
        <f>SUMIFS('2025-2026 Tracker'!$K$2:$K$5000,'2025-2026 Tracker'!$A$2:$A$5000,"&gt;="&amp;L3,'2025-2026 Tracker'!$A$2:$A$5000,"&lt;="&amp;EOMONTH(L3,0),'2025-2026 Tracker'!$B$2:$B$5000,"Expense",'2025-2026 Tracker'!$C$2:$C$5000,"Fixed costs",'2025-2026 Tracker'!$D$2:$D$5000,"Obsidian Publish")</f>
        <v>0</v>
      </c>
      <c r="M13" s="15">
        <f>SUMIFS('2025-2026 Tracker'!$K$2:$K$5000,'2025-2026 Tracker'!$A$2:$A$5000,"&gt;="&amp;M3,'2025-2026 Tracker'!$A$2:$A$5000,"&lt;="&amp;EOMONTH(M3,0),'2025-2026 Tracker'!$B$2:$B$5000,"Expense",'2025-2026 Tracker'!$C$2:$C$5000,"Fixed costs",'2025-2026 Tracker'!$D$2:$D$5000,"Obsidian Publish")</f>
        <v>0</v>
      </c>
      <c r="N13" s="15">
        <f>SUMIFS('2025-2026 Tracker'!$K$2:$K$5000,'2025-2026 Tracker'!$A$2:$A$5000,"&gt;="&amp;N3,'2025-2026 Tracker'!$A$2:$A$5000,"&lt;="&amp;EOMONTH(N3,0),'2025-2026 Tracker'!$B$2:$B$5000,"Expense",'2025-2026 Tracker'!$C$2:$C$5000,"Fixed costs",'2025-2026 Tracker'!$D$2:$D$5000,"Obsidian Publish")</f>
        <v>0</v>
      </c>
      <c r="O13" s="3">
        <f>SUMIFS('2025-2026 Tracker'!$K$2:$K$5000,'2025-2026 Tracker'!$A$2:$A$5000,"&gt;="&amp;O3,'2025-2026 Tracker'!$A$2:$A$5000,"&lt;="&amp;EOMONTH(O3,0),'2025-2026 Tracker'!$B$2:$B$5000,"Expense",'2025-2026 Tracker'!$C$2:$C$5000,"Fixed costs",'2025-2026 Tracker'!$D$2:$D$5000,"Obsidian Publish")</f>
        <v>0</v>
      </c>
      <c r="P13" s="3">
        <f>SUMIFS('2025-2026 Tracker'!$K$2:$K$5000,'2025-2026 Tracker'!$A$2:$A$5000,"&gt;="&amp;P3,'2025-2026 Tracker'!$A$2:$A$5000,"&lt;="&amp;EOMONTH(P3,0),'2025-2026 Tracker'!$B$2:$B$5000,"Expense",'2025-2026 Tracker'!$C$2:$C$5000,"Fixed costs",'2025-2026 Tracker'!$D$2:$D$5000,"Obsidian Publish")</f>
        <v>0</v>
      </c>
      <c r="Q13" s="3">
        <f>SUMIFS('2025-2026 Tracker'!$K$2:$K$5000,'2025-2026 Tracker'!$A$2:$A$5000,"&gt;="&amp;Q3,'2025-2026 Tracker'!$A$2:$A$5000,"&lt;="&amp;EOMONTH(Q3,0),'2025-2026 Tracker'!$B$2:$B$5000,"Expense",'2025-2026 Tracker'!$C$2:$C$5000,"Fixed costs",'2025-2026 Tracker'!$D$2:$D$5000,"Obsidian Publish")</f>
        <v>0</v>
      </c>
      <c r="R13" s="3">
        <f>SUMIFS('2025-2026 Tracker'!$K$2:$K$5000,'2025-2026 Tracker'!$A$2:$A$5000,"&gt;="&amp;R3,'2025-2026 Tracker'!$A$2:$A$5000,"&lt;="&amp;EOMONTH(R3,0),'2025-2026 Tracker'!$B$2:$B$5000,"Expense",'2025-2026 Tracker'!$C$2:$C$5000,"Fixed costs",'2025-2026 Tracker'!$D$2:$D$5000,"Obsidian Publish")</f>
        <v>0</v>
      </c>
      <c r="S13" s="3">
        <f>SUMIFS('2025-2026 Tracker'!$K$2:$K$5000,'2025-2026 Tracker'!$A$2:$A$5000,"&gt;="&amp;S3,'2025-2026 Tracker'!$A$2:$A$5000,"&lt;="&amp;EOMONTH(S3,0),'2025-2026 Tracker'!$B$2:$B$5000,"Expense",'2025-2026 Tracker'!$C$2:$C$5000,"Fixed costs",'2025-2026 Tracker'!$D$2:$D$5000,"Obsidian Publish")</f>
        <v>0</v>
      </c>
      <c r="T13" s="3">
        <f>SUMIFS('2025-2026 Tracker'!$K$2:$K$5000,'2025-2026 Tracker'!$A$2:$A$5000,"&gt;="&amp;T3,'2025-2026 Tracker'!$A$2:$A$5000,"&lt;="&amp;EOMONTH(T3,0),'2025-2026 Tracker'!$B$2:$B$5000,"Expense",'2025-2026 Tracker'!$C$2:$C$5000,"Fixed costs",'2025-2026 Tracker'!$D$2:$D$5000,"Obsidian Publish")</f>
        <v>0</v>
      </c>
      <c r="U13" s="3">
        <f>SUMIFS('2025-2026 Tracker'!$K$2:$K$5000,'2025-2026 Tracker'!$A$2:$A$5000,"&gt;="&amp;U3,'2025-2026 Tracker'!$A$2:$A$5000,"&lt;="&amp;EOMONTH(U3,0),'2025-2026 Tracker'!$B$2:$B$5000,"Expense",'2025-2026 Tracker'!$C$2:$C$5000,"Fixed costs",'2025-2026 Tracker'!$D$2:$D$5000,"Obsidian Publish")</f>
        <v>0</v>
      </c>
      <c r="V13" s="3">
        <f>SUMIFS('2025-2026 Tracker'!$K$2:$K$5000,'2025-2026 Tracker'!$A$2:$A$5000,"&gt;="&amp;V3,'2025-2026 Tracker'!$A$2:$A$5000,"&lt;="&amp;EOMONTH(V3,0),'2025-2026 Tracker'!$B$2:$B$5000,"Expense",'2025-2026 Tracker'!$C$2:$C$5000,"Fixed costs",'2025-2026 Tracker'!$D$2:$D$5000,"Obsidian Publish")</f>
        <v>0</v>
      </c>
      <c r="W13" s="3">
        <f>SUMIFS('2025-2026 Tracker'!$K$2:$K$5000,'2025-2026 Tracker'!$A$2:$A$5000,"&gt;="&amp;W3,'2025-2026 Tracker'!$A$2:$A$5000,"&lt;="&amp;EOMONTH(W3,0),'2025-2026 Tracker'!$B$2:$B$5000,"Expense",'2025-2026 Tracker'!$C$2:$C$5000,"Fixed costs",'2025-2026 Tracker'!$D$2:$D$5000,"Obsidian Publish")</f>
        <v>0</v>
      </c>
      <c r="X13" s="3">
        <f>SUMIFS('2025-2026 Tracker'!$K$2:$K$5000,'2025-2026 Tracker'!$A$2:$A$5000,"&gt;="&amp;X3,'2025-2026 Tracker'!$A$2:$A$5000,"&lt;="&amp;EOMONTH(X3,0),'2025-2026 Tracker'!$B$2:$B$5000,"Expense",'2025-2026 Tracker'!$C$2:$C$5000,"Fixed costs",'2025-2026 Tracker'!$D$2:$D$5000,"Obsidian Publish")</f>
        <v>0</v>
      </c>
      <c r="Y13" s="3">
        <f>SUMIFS('2025-2026 Tracker'!$K$2:$K$5000,'2025-2026 Tracker'!$A$2:$A$5000,"&gt;="&amp;Y3,'2025-2026 Tracker'!$A$2:$A$5000,"&lt;="&amp;EOMONTH(Y3,0),'2025-2026 Tracker'!$B$2:$B$5000,"Expense",'2025-2026 Tracker'!$C$2:$C$5000,"Fixed costs",'2025-2026 Tracker'!$D$2:$D$5000,"Obsidian Publish")</f>
        <v>0</v>
      </c>
      <c r="Z13" s="3">
        <f>SUMIFS('2025-2026 Tracker'!$K$2:$K$5000,'2025-2026 Tracker'!$A$2:$A$5000,"&gt;="&amp;Z3,'2025-2026 Tracker'!$A$2:$A$5000,"&lt;="&amp;EOMONTH(Z3,0),'2025-2026 Tracker'!$B$2:$B$5000,"Expense",'2025-2026 Tracker'!$C$2:$C$5000,"Fixed costs",'2025-2026 Tracker'!$D$2:$D$5000,"Obsidian Publish")</f>
        <v>0</v>
      </c>
      <c r="AA13" s="16">
        <f t="shared" si="5"/>
        <v>0</v>
      </c>
    </row>
    <row r="14">
      <c r="A14" s="14" t="s">
        <v>82</v>
      </c>
      <c r="B14" s="8"/>
      <c r="C14" s="15">
        <f>SUMIFS('2025-2026 Tracker'!$K$2:$K$5000,'2025-2026 Tracker'!$A$2:$A$5000,"&gt;="&amp;C3,'2025-2026 Tracker'!$A$2:$A$5000,"&lt;="&amp;EOMONTH(C3,0),'2025-2026 Tracker'!$B$2:$B$5000,"Expense",'2025-2026 Tracker'!$C$2:$C$5000,"Fixed costs",'2025-2026 Tracker'!$D$2:$D$5000,"refibcn.cat domain")</f>
        <v>0</v>
      </c>
      <c r="D14" s="15">
        <f>SUMIFS('2025-2026 Tracker'!$K$2:$K$5000,'2025-2026 Tracker'!$A$2:$A$5000,"&gt;="&amp;D3,'2025-2026 Tracker'!$A$2:$A$5000,"&lt;="&amp;EOMONTH(D3,0),'2025-2026 Tracker'!$B$2:$B$5000,"Expense",'2025-2026 Tracker'!$C$2:$C$5000,"Fixed costs",'2025-2026 Tracker'!$D$2:$D$5000,"refibcn.cat domain")</f>
        <v>45.68</v>
      </c>
      <c r="E14" s="15">
        <f>SUMIFS('2025-2026 Tracker'!$K$2:$K$5000,'2025-2026 Tracker'!$A$2:$A$5000,"&gt;="&amp;E3,'2025-2026 Tracker'!$A$2:$A$5000,"&lt;="&amp;EOMONTH(E3,0),'2025-2026 Tracker'!$B$2:$B$5000,"Expense",'2025-2026 Tracker'!$C$2:$C$5000,"Fixed costs",'2025-2026 Tracker'!$D$2:$D$5000,"refibcn.cat domain")</f>
        <v>0</v>
      </c>
      <c r="F14" s="15">
        <f>SUMIFS('2025-2026 Tracker'!$K$2:$K$5000,'2025-2026 Tracker'!$A$2:$A$5000,"&gt;="&amp;F3,'2025-2026 Tracker'!$A$2:$A$5000,"&lt;="&amp;EOMONTH(F3,0),'2025-2026 Tracker'!$B$2:$B$5000,"Expense",'2025-2026 Tracker'!$C$2:$C$5000,"Fixed costs",'2025-2026 Tracker'!$D$2:$D$5000,"refibcn.cat domain")</f>
        <v>0</v>
      </c>
      <c r="G14" s="15">
        <f>SUMIFS('2025-2026 Tracker'!$K$2:$K$5000,'2025-2026 Tracker'!$A$2:$A$5000,"&gt;="&amp;G3,'2025-2026 Tracker'!$A$2:$A$5000,"&lt;="&amp;EOMONTH(G3,0),'2025-2026 Tracker'!$B$2:$B$5000,"Expense",'2025-2026 Tracker'!$C$2:$C$5000,"Fixed costs",'2025-2026 Tracker'!$D$2:$D$5000,"refibcn.cat domain")</f>
        <v>0</v>
      </c>
      <c r="H14" s="15">
        <f>SUMIFS('2025-2026 Tracker'!$K$2:$K$5000,'2025-2026 Tracker'!$A$2:$A$5000,"&gt;="&amp;H3,'2025-2026 Tracker'!$A$2:$A$5000,"&lt;="&amp;EOMONTH(H3,0),'2025-2026 Tracker'!$B$2:$B$5000,"Expense",'2025-2026 Tracker'!$C$2:$C$5000,"Fixed costs",'2025-2026 Tracker'!$D$2:$D$5000,"refibcn.cat domain")</f>
        <v>0</v>
      </c>
      <c r="I14" s="15">
        <f>SUMIFS('2025-2026 Tracker'!$K$2:$K$5000,'2025-2026 Tracker'!$A$2:$A$5000,"&gt;="&amp;I3,'2025-2026 Tracker'!$A$2:$A$5000,"&lt;="&amp;EOMONTH(I3,0),'2025-2026 Tracker'!$B$2:$B$5000,"Expense",'2025-2026 Tracker'!$C$2:$C$5000,"Fixed costs",'2025-2026 Tracker'!$D$2:$D$5000,"refibcn.cat domain")</f>
        <v>0</v>
      </c>
      <c r="J14" s="15">
        <f>SUMIFS('2025-2026 Tracker'!$K$2:$K$5000,'2025-2026 Tracker'!$A$2:$A$5000,"&gt;="&amp;J3,'2025-2026 Tracker'!$A$2:$A$5000,"&lt;="&amp;EOMONTH(J3,0),'2025-2026 Tracker'!$B$2:$B$5000,"Expense",'2025-2026 Tracker'!$C$2:$C$5000,"Fixed costs",'2025-2026 Tracker'!$D$2:$D$5000,"refibcn.cat domain")</f>
        <v>0</v>
      </c>
      <c r="K14" s="15">
        <f>SUMIFS('2025-2026 Tracker'!$K$2:$K$5000,'2025-2026 Tracker'!$A$2:$A$5000,"&gt;="&amp;K3,'2025-2026 Tracker'!$A$2:$A$5000,"&lt;="&amp;EOMONTH(K3,0),'2025-2026 Tracker'!$B$2:$B$5000,"Expense",'2025-2026 Tracker'!$C$2:$C$5000,"Fixed costs",'2025-2026 Tracker'!$D$2:$D$5000,"refibcn.cat domain")</f>
        <v>0</v>
      </c>
      <c r="L14" s="15">
        <f>SUMIFS('2025-2026 Tracker'!$K$2:$K$5000,'2025-2026 Tracker'!$A$2:$A$5000,"&gt;="&amp;L3,'2025-2026 Tracker'!$A$2:$A$5000,"&lt;="&amp;EOMONTH(L3,0),'2025-2026 Tracker'!$B$2:$B$5000,"Expense",'2025-2026 Tracker'!$C$2:$C$5000,"Fixed costs",'2025-2026 Tracker'!$D$2:$D$5000,"refibcn.cat domain")</f>
        <v>0</v>
      </c>
      <c r="M14" s="15">
        <f>SUMIFS('2025-2026 Tracker'!$K$2:$K$5000,'2025-2026 Tracker'!$A$2:$A$5000,"&gt;="&amp;M3,'2025-2026 Tracker'!$A$2:$A$5000,"&lt;="&amp;EOMONTH(M3,0),'2025-2026 Tracker'!$B$2:$B$5000,"Expense",'2025-2026 Tracker'!$C$2:$C$5000,"Fixed costs",'2025-2026 Tracker'!$D$2:$D$5000,"refibcn.cat domain")</f>
        <v>0</v>
      </c>
      <c r="N14" s="15">
        <f>SUMIFS('2025-2026 Tracker'!$K$2:$K$5000,'2025-2026 Tracker'!$A$2:$A$5000,"&gt;="&amp;N3,'2025-2026 Tracker'!$A$2:$A$5000,"&lt;="&amp;EOMONTH(N3,0),'2025-2026 Tracker'!$B$2:$B$5000,"Expense",'2025-2026 Tracker'!$C$2:$C$5000,"Fixed costs",'2025-2026 Tracker'!$D$2:$D$5000,"refibcn.cat domain")</f>
        <v>0</v>
      </c>
      <c r="O14" s="3">
        <f>SUMIFS('2025-2026 Tracker'!$K$2:$K$5000,'2025-2026 Tracker'!$A$2:$A$5000,"&gt;="&amp;O3,'2025-2026 Tracker'!$A$2:$A$5000,"&lt;="&amp;EOMONTH(O3,0),'2025-2026 Tracker'!$B$2:$B$5000,"Expense",'2025-2026 Tracker'!$C$2:$C$5000,"Fixed costs",'2025-2026 Tracker'!$D$2:$D$5000,"refibcn.cat domain")</f>
        <v>0</v>
      </c>
      <c r="P14" s="3">
        <f>SUMIFS('2025-2026 Tracker'!$K$2:$K$5000,'2025-2026 Tracker'!$A$2:$A$5000,"&gt;="&amp;P3,'2025-2026 Tracker'!$A$2:$A$5000,"&lt;="&amp;EOMONTH(P3,0),'2025-2026 Tracker'!$B$2:$B$5000,"Expense",'2025-2026 Tracker'!$C$2:$C$5000,"Fixed costs",'2025-2026 Tracker'!$D$2:$D$5000,"refibcn.cat domain")</f>
        <v>0</v>
      </c>
      <c r="Q14" s="3">
        <f>SUMIFS('2025-2026 Tracker'!$K$2:$K$5000,'2025-2026 Tracker'!$A$2:$A$5000,"&gt;="&amp;Q3,'2025-2026 Tracker'!$A$2:$A$5000,"&lt;="&amp;EOMONTH(Q3,0),'2025-2026 Tracker'!$B$2:$B$5000,"Expense",'2025-2026 Tracker'!$C$2:$C$5000,"Fixed costs",'2025-2026 Tracker'!$D$2:$D$5000,"refibcn.cat domain")</f>
        <v>0</v>
      </c>
      <c r="R14" s="3">
        <f>SUMIFS('2025-2026 Tracker'!$K$2:$K$5000,'2025-2026 Tracker'!$A$2:$A$5000,"&gt;="&amp;R3,'2025-2026 Tracker'!$A$2:$A$5000,"&lt;="&amp;EOMONTH(R3,0),'2025-2026 Tracker'!$B$2:$B$5000,"Expense",'2025-2026 Tracker'!$C$2:$C$5000,"Fixed costs",'2025-2026 Tracker'!$D$2:$D$5000,"refibcn.cat domain")</f>
        <v>0</v>
      </c>
      <c r="S14" s="3">
        <f>SUMIFS('2025-2026 Tracker'!$K$2:$K$5000,'2025-2026 Tracker'!$A$2:$A$5000,"&gt;="&amp;S3,'2025-2026 Tracker'!$A$2:$A$5000,"&lt;="&amp;EOMONTH(S3,0),'2025-2026 Tracker'!$B$2:$B$5000,"Expense",'2025-2026 Tracker'!$C$2:$C$5000,"Fixed costs",'2025-2026 Tracker'!$D$2:$D$5000,"refibcn.cat domain")</f>
        <v>0</v>
      </c>
      <c r="T14" s="3">
        <f>SUMIFS('2025-2026 Tracker'!$K$2:$K$5000,'2025-2026 Tracker'!$A$2:$A$5000,"&gt;="&amp;T3,'2025-2026 Tracker'!$A$2:$A$5000,"&lt;="&amp;EOMONTH(T3,0),'2025-2026 Tracker'!$B$2:$B$5000,"Expense",'2025-2026 Tracker'!$C$2:$C$5000,"Fixed costs",'2025-2026 Tracker'!$D$2:$D$5000,"refibcn.cat domain")</f>
        <v>0</v>
      </c>
      <c r="U14" s="3">
        <f>SUMIFS('2025-2026 Tracker'!$K$2:$K$5000,'2025-2026 Tracker'!$A$2:$A$5000,"&gt;="&amp;U3,'2025-2026 Tracker'!$A$2:$A$5000,"&lt;="&amp;EOMONTH(U3,0),'2025-2026 Tracker'!$B$2:$B$5000,"Expense",'2025-2026 Tracker'!$C$2:$C$5000,"Fixed costs",'2025-2026 Tracker'!$D$2:$D$5000,"refibcn.cat domain")</f>
        <v>0</v>
      </c>
      <c r="V14" s="3">
        <f>SUMIFS('2025-2026 Tracker'!$K$2:$K$5000,'2025-2026 Tracker'!$A$2:$A$5000,"&gt;="&amp;V3,'2025-2026 Tracker'!$A$2:$A$5000,"&lt;="&amp;EOMONTH(V3,0),'2025-2026 Tracker'!$B$2:$B$5000,"Expense",'2025-2026 Tracker'!$C$2:$C$5000,"Fixed costs",'2025-2026 Tracker'!$D$2:$D$5000,"refibcn.cat domain")</f>
        <v>0</v>
      </c>
      <c r="W14" s="3">
        <f>SUMIFS('2025-2026 Tracker'!$K$2:$K$5000,'2025-2026 Tracker'!$A$2:$A$5000,"&gt;="&amp;W3,'2025-2026 Tracker'!$A$2:$A$5000,"&lt;="&amp;EOMONTH(W3,0),'2025-2026 Tracker'!$B$2:$B$5000,"Expense",'2025-2026 Tracker'!$C$2:$C$5000,"Fixed costs",'2025-2026 Tracker'!$D$2:$D$5000,"refibcn.cat domain")</f>
        <v>0</v>
      </c>
      <c r="X14" s="3">
        <f>SUMIFS('2025-2026 Tracker'!$K$2:$K$5000,'2025-2026 Tracker'!$A$2:$A$5000,"&gt;="&amp;X3,'2025-2026 Tracker'!$A$2:$A$5000,"&lt;="&amp;EOMONTH(X3,0),'2025-2026 Tracker'!$B$2:$B$5000,"Expense",'2025-2026 Tracker'!$C$2:$C$5000,"Fixed costs",'2025-2026 Tracker'!$D$2:$D$5000,"refibcn.cat domain")</f>
        <v>0</v>
      </c>
      <c r="Y14" s="3">
        <f>SUMIFS('2025-2026 Tracker'!$K$2:$K$5000,'2025-2026 Tracker'!$A$2:$A$5000,"&gt;="&amp;Y3,'2025-2026 Tracker'!$A$2:$A$5000,"&lt;="&amp;EOMONTH(Y3,0),'2025-2026 Tracker'!$B$2:$B$5000,"Expense",'2025-2026 Tracker'!$C$2:$C$5000,"Fixed costs",'2025-2026 Tracker'!$D$2:$D$5000,"refibcn.cat domain")</f>
        <v>0</v>
      </c>
      <c r="Z14" s="3">
        <f>SUMIFS('2025-2026 Tracker'!$K$2:$K$5000,'2025-2026 Tracker'!$A$2:$A$5000,"&gt;="&amp;Z3,'2025-2026 Tracker'!$A$2:$A$5000,"&lt;="&amp;EOMONTH(Z3,0),'2025-2026 Tracker'!$B$2:$B$5000,"Expense",'2025-2026 Tracker'!$C$2:$C$5000,"Fixed costs",'2025-2026 Tracker'!$D$2:$D$5000,"refibcn.cat domain")</f>
        <v>0</v>
      </c>
      <c r="AA14" s="16">
        <f t="shared" si="5"/>
        <v>45.68</v>
      </c>
    </row>
    <row r="15">
      <c r="A15" s="14" t="s">
        <v>83</v>
      </c>
      <c r="B15" s="8"/>
      <c r="C15" s="15">
        <f>SUMIFS('2025-2026 Tracker'!$K$2:$K$5000,'2025-2026 Tracker'!$A$2:$A$5000,"&gt;="&amp;C3,'2025-2026 Tracker'!$A$2:$A$5000,"&lt;="&amp;EOMONTH(C3,0),'2025-2026 Tracker'!$B$2:$B$5000,"Expense",'2025-2026 Tracker'!$C$2:$C$5000,"Fixed costs",'2025-2026 Tracker'!$D$2:$D$5000,"Notion")</f>
        <v>13.92</v>
      </c>
      <c r="D15" s="15">
        <f>SUMIFS('2025-2026 Tracker'!$K$2:$K$5000,'2025-2026 Tracker'!$A$2:$A$5000,"&gt;="&amp;D3,'2025-2026 Tracker'!$A$2:$A$5000,"&lt;="&amp;EOMONTH(D3,0),'2025-2026 Tracker'!$B$2:$B$5000,"Expense",'2025-2026 Tracker'!$C$2:$C$5000,"Fixed costs",'2025-2026 Tracker'!$D$2:$D$5000,"Notion")</f>
        <v>13.92</v>
      </c>
      <c r="E15" s="15">
        <f>SUMIFS('2025-2026 Tracker'!$K$2:$K$5000,'2025-2026 Tracker'!$A$2:$A$5000,"&gt;="&amp;E3,'2025-2026 Tracker'!$A$2:$A$5000,"&lt;="&amp;EOMONTH(E3,0),'2025-2026 Tracker'!$B$2:$B$5000,"Expense",'2025-2026 Tracker'!$C$2:$C$5000,"Fixed costs",'2025-2026 Tracker'!$D$2:$D$5000,"Notion")</f>
        <v>13.92</v>
      </c>
      <c r="F15" s="15">
        <f>SUMIFS('2025-2026 Tracker'!$K$2:$K$5000,'2025-2026 Tracker'!$A$2:$A$5000,"&gt;="&amp;F3,'2025-2026 Tracker'!$A$2:$A$5000,"&lt;="&amp;EOMONTH(F3,0),'2025-2026 Tracker'!$B$2:$B$5000,"Expense",'2025-2026 Tracker'!$C$2:$C$5000,"Fixed costs",'2025-2026 Tracker'!$D$2:$D$5000,"Notion")</f>
        <v>13.92</v>
      </c>
      <c r="G15" s="15">
        <f>SUMIFS('2025-2026 Tracker'!$K$2:$K$5000,'2025-2026 Tracker'!$A$2:$A$5000,"&gt;="&amp;G3,'2025-2026 Tracker'!$A$2:$A$5000,"&lt;="&amp;EOMONTH(G3,0),'2025-2026 Tracker'!$B$2:$B$5000,"Expense",'2025-2026 Tracker'!$C$2:$C$5000,"Fixed costs",'2025-2026 Tracker'!$D$2:$D$5000,"Notion")</f>
        <v>13.92</v>
      </c>
      <c r="H15" s="15">
        <f>SUMIFS('2025-2026 Tracker'!$K$2:$K$5000,'2025-2026 Tracker'!$A$2:$A$5000,"&gt;="&amp;H3,'2025-2026 Tracker'!$A$2:$A$5000,"&lt;="&amp;EOMONTH(H3,0),'2025-2026 Tracker'!$B$2:$B$5000,"Expense",'2025-2026 Tracker'!$C$2:$C$5000,"Fixed costs",'2025-2026 Tracker'!$D$2:$D$5000,"Notion")</f>
        <v>13.92</v>
      </c>
      <c r="I15" s="15">
        <f>SUMIFS('2025-2026 Tracker'!$K$2:$K$5000,'2025-2026 Tracker'!$A$2:$A$5000,"&gt;="&amp;I3,'2025-2026 Tracker'!$A$2:$A$5000,"&lt;="&amp;EOMONTH(I3,0),'2025-2026 Tracker'!$B$2:$B$5000,"Expense",'2025-2026 Tracker'!$C$2:$C$5000,"Fixed costs",'2025-2026 Tracker'!$D$2:$D$5000,"Notion")</f>
        <v>13.92</v>
      </c>
      <c r="J15" s="15">
        <f>SUMIFS('2025-2026 Tracker'!$K$2:$K$5000,'2025-2026 Tracker'!$A$2:$A$5000,"&gt;="&amp;J3,'2025-2026 Tracker'!$A$2:$A$5000,"&lt;="&amp;EOMONTH(J3,0),'2025-2026 Tracker'!$B$2:$B$5000,"Expense",'2025-2026 Tracker'!$C$2:$C$5000,"Fixed costs",'2025-2026 Tracker'!$D$2:$D$5000,"Notion")</f>
        <v>13.92</v>
      </c>
      <c r="K15" s="15">
        <f>SUMIFS('2025-2026 Tracker'!$K$2:$K$5000,'2025-2026 Tracker'!$A$2:$A$5000,"&gt;="&amp;K3,'2025-2026 Tracker'!$A$2:$A$5000,"&lt;="&amp;EOMONTH(K3,0),'2025-2026 Tracker'!$B$2:$B$5000,"Expense",'2025-2026 Tracker'!$C$2:$C$5000,"Fixed costs",'2025-2026 Tracker'!$D$2:$D$5000,"Notion")</f>
        <v>13.92</v>
      </c>
      <c r="L15" s="15">
        <f>SUMIFS('2025-2026 Tracker'!$K$2:$K$5000,'2025-2026 Tracker'!$A$2:$A$5000,"&gt;="&amp;L3,'2025-2026 Tracker'!$A$2:$A$5000,"&lt;="&amp;EOMONTH(L3,0),'2025-2026 Tracker'!$B$2:$B$5000,"Expense",'2025-2026 Tracker'!$C$2:$C$5000,"Fixed costs",'2025-2026 Tracker'!$D$2:$D$5000,"Notion")</f>
        <v>13.92</v>
      </c>
      <c r="M15" s="15">
        <f>SUMIFS('2025-2026 Tracker'!$K$2:$K$5000,'2025-2026 Tracker'!$A$2:$A$5000,"&gt;="&amp;M3,'2025-2026 Tracker'!$A$2:$A$5000,"&lt;="&amp;EOMONTH(M3,0),'2025-2026 Tracker'!$B$2:$B$5000,"Expense",'2025-2026 Tracker'!$C$2:$C$5000,"Fixed costs",'2025-2026 Tracker'!$D$2:$D$5000,"Notion")</f>
        <v>13.92</v>
      </c>
      <c r="N15" s="15">
        <f>SUMIFS('2025-2026 Tracker'!$K$2:$K$5000,'2025-2026 Tracker'!$A$2:$A$5000,"&gt;="&amp;N3,'2025-2026 Tracker'!$A$2:$A$5000,"&lt;="&amp;EOMONTH(N3,0),'2025-2026 Tracker'!$B$2:$B$5000,"Expense",'2025-2026 Tracker'!$C$2:$C$5000,"Fixed costs",'2025-2026 Tracker'!$D$2:$D$5000,"Notion")</f>
        <v>13.92</v>
      </c>
      <c r="O15" s="3">
        <f>SUMIFS('2025-2026 Tracker'!$K$2:$K$5000,'2025-2026 Tracker'!$A$2:$A$5000,"&gt;="&amp;O3,'2025-2026 Tracker'!$A$2:$A$5000,"&lt;="&amp;EOMONTH(O3,0),'2025-2026 Tracker'!$B$2:$B$5000,"Expense",'2025-2026 Tracker'!$C$2:$C$5000,"Fixed costs",'2025-2026 Tracker'!$D$2:$D$5000,"Notion")</f>
        <v>13.92</v>
      </c>
      <c r="P15" s="3">
        <f>SUMIFS('2025-2026 Tracker'!$K$2:$K$5000,'2025-2026 Tracker'!$A$2:$A$5000,"&gt;="&amp;P3,'2025-2026 Tracker'!$A$2:$A$5000,"&lt;="&amp;EOMONTH(P3,0),'2025-2026 Tracker'!$B$2:$B$5000,"Expense",'2025-2026 Tracker'!$C$2:$C$5000,"Fixed costs",'2025-2026 Tracker'!$D$2:$D$5000,"Notion")</f>
        <v>13.92</v>
      </c>
      <c r="Q15" s="3">
        <f>SUMIFS('2025-2026 Tracker'!$K$2:$K$5000,'2025-2026 Tracker'!$A$2:$A$5000,"&gt;="&amp;Q3,'2025-2026 Tracker'!$A$2:$A$5000,"&lt;="&amp;EOMONTH(Q3,0),'2025-2026 Tracker'!$B$2:$B$5000,"Expense",'2025-2026 Tracker'!$C$2:$C$5000,"Fixed costs",'2025-2026 Tracker'!$D$2:$D$5000,"Notion")</f>
        <v>13.92</v>
      </c>
      <c r="R15" s="3">
        <f>SUMIFS('2025-2026 Tracker'!$K$2:$K$5000,'2025-2026 Tracker'!$A$2:$A$5000,"&gt;="&amp;R3,'2025-2026 Tracker'!$A$2:$A$5000,"&lt;="&amp;EOMONTH(R3,0),'2025-2026 Tracker'!$B$2:$B$5000,"Expense",'2025-2026 Tracker'!$C$2:$C$5000,"Fixed costs",'2025-2026 Tracker'!$D$2:$D$5000,"Notion")</f>
        <v>13.92</v>
      </c>
      <c r="S15" s="3">
        <f>SUMIFS('2025-2026 Tracker'!$K$2:$K$5000,'2025-2026 Tracker'!$A$2:$A$5000,"&gt;="&amp;S3,'2025-2026 Tracker'!$A$2:$A$5000,"&lt;="&amp;EOMONTH(S3,0),'2025-2026 Tracker'!$B$2:$B$5000,"Expense",'2025-2026 Tracker'!$C$2:$C$5000,"Fixed costs",'2025-2026 Tracker'!$D$2:$D$5000,"Notion")</f>
        <v>13.92</v>
      </c>
      <c r="T15" s="3">
        <f>SUMIFS('2025-2026 Tracker'!$K$2:$K$5000,'2025-2026 Tracker'!$A$2:$A$5000,"&gt;="&amp;T3,'2025-2026 Tracker'!$A$2:$A$5000,"&lt;="&amp;EOMONTH(T3,0),'2025-2026 Tracker'!$B$2:$B$5000,"Expense",'2025-2026 Tracker'!$C$2:$C$5000,"Fixed costs",'2025-2026 Tracker'!$D$2:$D$5000,"Notion")</f>
        <v>13.92</v>
      </c>
      <c r="U15" s="3">
        <f>SUMIFS('2025-2026 Tracker'!$K$2:$K$5000,'2025-2026 Tracker'!$A$2:$A$5000,"&gt;="&amp;U3,'2025-2026 Tracker'!$A$2:$A$5000,"&lt;="&amp;EOMONTH(U3,0),'2025-2026 Tracker'!$B$2:$B$5000,"Expense",'2025-2026 Tracker'!$C$2:$C$5000,"Fixed costs",'2025-2026 Tracker'!$D$2:$D$5000,"Notion")</f>
        <v>13.92</v>
      </c>
      <c r="V15" s="3">
        <f>SUMIFS('2025-2026 Tracker'!$K$2:$K$5000,'2025-2026 Tracker'!$A$2:$A$5000,"&gt;="&amp;V3,'2025-2026 Tracker'!$A$2:$A$5000,"&lt;="&amp;EOMONTH(V3,0),'2025-2026 Tracker'!$B$2:$B$5000,"Expense",'2025-2026 Tracker'!$C$2:$C$5000,"Fixed costs",'2025-2026 Tracker'!$D$2:$D$5000,"Notion")</f>
        <v>13.92</v>
      </c>
      <c r="W15" s="3">
        <f>SUMIFS('2025-2026 Tracker'!$K$2:$K$5000,'2025-2026 Tracker'!$A$2:$A$5000,"&gt;="&amp;W3,'2025-2026 Tracker'!$A$2:$A$5000,"&lt;="&amp;EOMONTH(W3,0),'2025-2026 Tracker'!$B$2:$B$5000,"Expense",'2025-2026 Tracker'!$C$2:$C$5000,"Fixed costs",'2025-2026 Tracker'!$D$2:$D$5000,"Notion")</f>
        <v>13.92</v>
      </c>
      <c r="X15" s="3">
        <f>SUMIFS('2025-2026 Tracker'!$K$2:$K$5000,'2025-2026 Tracker'!$A$2:$A$5000,"&gt;="&amp;X3,'2025-2026 Tracker'!$A$2:$A$5000,"&lt;="&amp;EOMONTH(X3,0),'2025-2026 Tracker'!$B$2:$B$5000,"Expense",'2025-2026 Tracker'!$C$2:$C$5000,"Fixed costs",'2025-2026 Tracker'!$D$2:$D$5000,"Notion")</f>
        <v>13.92</v>
      </c>
      <c r="Y15" s="3">
        <f>SUMIFS('2025-2026 Tracker'!$K$2:$K$5000,'2025-2026 Tracker'!$A$2:$A$5000,"&gt;="&amp;Y3,'2025-2026 Tracker'!$A$2:$A$5000,"&lt;="&amp;EOMONTH(Y3,0),'2025-2026 Tracker'!$B$2:$B$5000,"Expense",'2025-2026 Tracker'!$C$2:$C$5000,"Fixed costs",'2025-2026 Tracker'!$D$2:$D$5000,"Notion")</f>
        <v>13.92</v>
      </c>
      <c r="Z15" s="3">
        <f>SUMIFS('2025-2026 Tracker'!$K$2:$K$5000,'2025-2026 Tracker'!$A$2:$A$5000,"&gt;="&amp;Z3,'2025-2026 Tracker'!$A$2:$A$5000,"&lt;="&amp;EOMONTH(Z3,0),'2025-2026 Tracker'!$B$2:$B$5000,"Expense",'2025-2026 Tracker'!$C$2:$C$5000,"Fixed costs",'2025-2026 Tracker'!$D$2:$D$5000,"Notion")</f>
        <v>13.92</v>
      </c>
      <c r="AA15" s="16">
        <f t="shared" si="5"/>
        <v>334.08</v>
      </c>
    </row>
    <row r="16">
      <c r="A16" s="14" t="s">
        <v>84</v>
      </c>
      <c r="B16" s="8"/>
      <c r="C16" s="15">
        <f>SUMIFS('2025-2026 Tracker'!$K$2:$K$5000,'2025-2026 Tracker'!$A$2:$A$5000,"&gt;="&amp;C3,'2025-2026 Tracker'!$A$2:$A$5000,"&lt;="&amp;EOMONTH(C3,0),'2025-2026 Tracker'!$B$2:$B$5000,"Expense",'2025-2026 Tracker'!$C$2:$C$5000,"Fixed costs",'2025-2026 Tracker'!$D$2:$D$5000,"Cursor Team")</f>
        <v>0</v>
      </c>
      <c r="D16" s="15">
        <f>SUMIFS('2025-2026 Tracker'!$K$2:$K$5000,'2025-2026 Tracker'!$A$2:$A$5000,"&gt;="&amp;D3,'2025-2026 Tracker'!$A$2:$A$5000,"&lt;="&amp;EOMONTH(D3,0),'2025-2026 Tracker'!$B$2:$B$5000,"Expense",'2025-2026 Tracker'!$C$2:$C$5000,"Fixed costs",'2025-2026 Tracker'!$D$2:$D$5000,"Cursor Team")</f>
        <v>0</v>
      </c>
      <c r="E16" s="15">
        <f>SUMIFS('2025-2026 Tracker'!$K$2:$K$5000,'2025-2026 Tracker'!$A$2:$A$5000,"&gt;="&amp;E3,'2025-2026 Tracker'!$A$2:$A$5000,"&lt;="&amp;EOMONTH(E3,0),'2025-2026 Tracker'!$B$2:$B$5000,"Expense",'2025-2026 Tracker'!$C$2:$C$5000,"Fixed costs",'2025-2026 Tracker'!$D$2:$D$5000,"Cursor Team")</f>
        <v>0</v>
      </c>
      <c r="F16" s="15">
        <f>SUMIFS('2025-2026 Tracker'!$K$2:$K$5000,'2025-2026 Tracker'!$A$2:$A$5000,"&gt;="&amp;F3,'2025-2026 Tracker'!$A$2:$A$5000,"&lt;="&amp;EOMONTH(F3,0),'2025-2026 Tracker'!$B$2:$B$5000,"Expense",'2025-2026 Tracker'!$C$2:$C$5000,"Fixed costs",'2025-2026 Tracker'!$D$2:$D$5000,"Cursor Team")</f>
        <v>0</v>
      </c>
      <c r="G16" s="15">
        <f>SUMIFS('2025-2026 Tracker'!$K$2:$K$5000,'2025-2026 Tracker'!$A$2:$A$5000,"&gt;="&amp;G3,'2025-2026 Tracker'!$A$2:$A$5000,"&lt;="&amp;EOMONTH(G3,0),'2025-2026 Tracker'!$B$2:$B$5000,"Expense",'2025-2026 Tracker'!$C$2:$C$5000,"Fixed costs",'2025-2026 Tracker'!$D$2:$D$5000,"Cursor Team")</f>
        <v>0</v>
      </c>
      <c r="H16" s="15">
        <f>SUMIFS('2025-2026 Tracker'!$K$2:$K$5000,'2025-2026 Tracker'!$A$2:$A$5000,"&gt;="&amp;H3,'2025-2026 Tracker'!$A$2:$A$5000,"&lt;="&amp;EOMONTH(H3,0),'2025-2026 Tracker'!$B$2:$B$5000,"Expense",'2025-2026 Tracker'!$C$2:$C$5000,"Fixed costs",'2025-2026 Tracker'!$D$2:$D$5000,"Cursor Team")</f>
        <v>0</v>
      </c>
      <c r="I16" s="15">
        <f>SUMIFS('2025-2026 Tracker'!$K$2:$K$5000,'2025-2026 Tracker'!$A$2:$A$5000,"&gt;="&amp;I3,'2025-2026 Tracker'!$A$2:$A$5000,"&lt;="&amp;EOMONTH(I3,0),'2025-2026 Tracker'!$B$2:$B$5000,"Expense",'2025-2026 Tracker'!$C$2:$C$5000,"Fixed costs",'2025-2026 Tracker'!$D$2:$D$5000,"Cursor Team")</f>
        <v>0</v>
      </c>
      <c r="J16" s="15">
        <f>SUMIFS('2025-2026 Tracker'!$K$2:$K$5000,'2025-2026 Tracker'!$A$2:$A$5000,"&gt;="&amp;J3,'2025-2026 Tracker'!$A$2:$A$5000,"&lt;="&amp;EOMONTH(J3,0),'2025-2026 Tracker'!$B$2:$B$5000,"Expense",'2025-2026 Tracker'!$C$2:$C$5000,"Fixed costs",'2025-2026 Tracker'!$D$2:$D$5000,"Cursor Team")</f>
        <v>0</v>
      </c>
      <c r="K16" s="15">
        <f>SUMIFS('2025-2026 Tracker'!$K$2:$K$5000,'2025-2026 Tracker'!$A$2:$A$5000,"&gt;="&amp;K3,'2025-2026 Tracker'!$A$2:$A$5000,"&lt;="&amp;EOMONTH(K3,0),'2025-2026 Tracker'!$B$2:$B$5000,"Expense",'2025-2026 Tracker'!$C$2:$C$5000,"Fixed costs",'2025-2026 Tracker'!$D$2:$D$5000,"Cursor Team")</f>
        <v>0</v>
      </c>
      <c r="L16" s="15">
        <f>SUMIFS('2025-2026 Tracker'!$K$2:$K$5000,'2025-2026 Tracker'!$A$2:$A$5000,"&gt;="&amp;L3,'2025-2026 Tracker'!$A$2:$A$5000,"&lt;="&amp;EOMONTH(L3,0),'2025-2026 Tracker'!$B$2:$B$5000,"Expense",'2025-2026 Tracker'!$C$2:$C$5000,"Fixed costs",'2025-2026 Tracker'!$D$2:$D$5000,"Cursor Team")</f>
        <v>0</v>
      </c>
      <c r="M16" s="15">
        <f>SUMIFS('2025-2026 Tracker'!$K$2:$K$5000,'2025-2026 Tracker'!$A$2:$A$5000,"&gt;="&amp;M3,'2025-2026 Tracker'!$A$2:$A$5000,"&lt;="&amp;EOMONTH(M3,0),'2025-2026 Tracker'!$B$2:$B$5000,"Expense",'2025-2026 Tracker'!$C$2:$C$5000,"Fixed costs",'2025-2026 Tracker'!$D$2:$D$5000,"Cursor Team")</f>
        <v>0</v>
      </c>
      <c r="N16" s="15">
        <f>SUMIFS('2025-2026 Tracker'!$K$2:$K$5000,'2025-2026 Tracker'!$A$2:$A$5000,"&gt;="&amp;N3,'2025-2026 Tracker'!$A$2:$A$5000,"&lt;="&amp;EOMONTH(N3,0),'2025-2026 Tracker'!$B$2:$B$5000,"Expense",'2025-2026 Tracker'!$C$2:$C$5000,"Fixed costs",'2025-2026 Tracker'!$D$2:$D$5000,"Cursor Team")</f>
        <v>0</v>
      </c>
      <c r="O16" s="3">
        <f>SUMIFS('2025-2026 Tracker'!$K$2:$K$5000,'2025-2026 Tracker'!$A$2:$A$5000,"&gt;="&amp;O3,'2025-2026 Tracker'!$A$2:$A$5000,"&lt;="&amp;EOMONTH(O3,0),'2025-2026 Tracker'!$B$2:$B$5000,"Expense",'2025-2026 Tracker'!$C$2:$C$5000,"Fixed costs",'2025-2026 Tracker'!$D$2:$D$5000,"Cursor Team")</f>
        <v>0</v>
      </c>
      <c r="P16" s="3">
        <f>SUMIFS('2025-2026 Tracker'!$K$2:$K$5000,'2025-2026 Tracker'!$A$2:$A$5000,"&gt;="&amp;P3,'2025-2026 Tracker'!$A$2:$A$5000,"&lt;="&amp;EOMONTH(P3,0),'2025-2026 Tracker'!$B$2:$B$5000,"Expense",'2025-2026 Tracker'!$C$2:$C$5000,"Fixed costs",'2025-2026 Tracker'!$D$2:$D$5000,"Cursor Team")</f>
        <v>0</v>
      </c>
      <c r="Q16" s="3">
        <f>SUMIFS('2025-2026 Tracker'!$K$2:$K$5000,'2025-2026 Tracker'!$A$2:$A$5000,"&gt;="&amp;Q3,'2025-2026 Tracker'!$A$2:$A$5000,"&lt;="&amp;EOMONTH(Q3,0),'2025-2026 Tracker'!$B$2:$B$5000,"Expense",'2025-2026 Tracker'!$C$2:$C$5000,"Fixed costs",'2025-2026 Tracker'!$D$2:$D$5000,"Cursor Team")</f>
        <v>0</v>
      </c>
      <c r="R16" s="3">
        <f>SUMIFS('2025-2026 Tracker'!$K$2:$K$5000,'2025-2026 Tracker'!$A$2:$A$5000,"&gt;="&amp;R3,'2025-2026 Tracker'!$A$2:$A$5000,"&lt;="&amp;EOMONTH(R3,0),'2025-2026 Tracker'!$B$2:$B$5000,"Expense",'2025-2026 Tracker'!$C$2:$C$5000,"Fixed costs",'2025-2026 Tracker'!$D$2:$D$5000,"Cursor Team")</f>
        <v>0</v>
      </c>
      <c r="S16" s="3">
        <f>SUMIFS('2025-2026 Tracker'!$K$2:$K$5000,'2025-2026 Tracker'!$A$2:$A$5000,"&gt;="&amp;S3,'2025-2026 Tracker'!$A$2:$A$5000,"&lt;="&amp;EOMONTH(S3,0),'2025-2026 Tracker'!$B$2:$B$5000,"Expense",'2025-2026 Tracker'!$C$2:$C$5000,"Fixed costs",'2025-2026 Tracker'!$D$2:$D$5000,"Cursor Team")</f>
        <v>0</v>
      </c>
      <c r="T16" s="3">
        <f>SUMIFS('2025-2026 Tracker'!$K$2:$K$5000,'2025-2026 Tracker'!$A$2:$A$5000,"&gt;="&amp;T3,'2025-2026 Tracker'!$A$2:$A$5000,"&lt;="&amp;EOMONTH(T3,0),'2025-2026 Tracker'!$B$2:$B$5000,"Expense",'2025-2026 Tracker'!$C$2:$C$5000,"Fixed costs",'2025-2026 Tracker'!$D$2:$D$5000,"Cursor Team")</f>
        <v>0</v>
      </c>
      <c r="U16" s="3">
        <f>SUMIFS('2025-2026 Tracker'!$K$2:$K$5000,'2025-2026 Tracker'!$A$2:$A$5000,"&gt;="&amp;U3,'2025-2026 Tracker'!$A$2:$A$5000,"&lt;="&amp;EOMONTH(U3,0),'2025-2026 Tracker'!$B$2:$B$5000,"Expense",'2025-2026 Tracker'!$C$2:$C$5000,"Fixed costs",'2025-2026 Tracker'!$D$2:$D$5000,"Cursor Team")</f>
        <v>0</v>
      </c>
      <c r="V16" s="3">
        <f>SUMIFS('2025-2026 Tracker'!$K$2:$K$5000,'2025-2026 Tracker'!$A$2:$A$5000,"&gt;="&amp;V3,'2025-2026 Tracker'!$A$2:$A$5000,"&lt;="&amp;EOMONTH(V3,0),'2025-2026 Tracker'!$B$2:$B$5000,"Expense",'2025-2026 Tracker'!$C$2:$C$5000,"Fixed costs",'2025-2026 Tracker'!$D$2:$D$5000,"Cursor Team")</f>
        <v>0</v>
      </c>
      <c r="W16" s="3">
        <f>SUMIFS('2025-2026 Tracker'!$K$2:$K$5000,'2025-2026 Tracker'!$A$2:$A$5000,"&gt;="&amp;W3,'2025-2026 Tracker'!$A$2:$A$5000,"&lt;="&amp;EOMONTH(W3,0),'2025-2026 Tracker'!$B$2:$B$5000,"Expense",'2025-2026 Tracker'!$C$2:$C$5000,"Fixed costs",'2025-2026 Tracker'!$D$2:$D$5000,"Cursor Team")</f>
        <v>0</v>
      </c>
      <c r="X16" s="3">
        <f>SUMIFS('2025-2026 Tracker'!$K$2:$K$5000,'2025-2026 Tracker'!$A$2:$A$5000,"&gt;="&amp;X3,'2025-2026 Tracker'!$A$2:$A$5000,"&lt;="&amp;EOMONTH(X3,0),'2025-2026 Tracker'!$B$2:$B$5000,"Expense",'2025-2026 Tracker'!$C$2:$C$5000,"Fixed costs",'2025-2026 Tracker'!$D$2:$D$5000,"Cursor Team")</f>
        <v>0</v>
      </c>
      <c r="Y16" s="3">
        <f>SUMIFS('2025-2026 Tracker'!$K$2:$K$5000,'2025-2026 Tracker'!$A$2:$A$5000,"&gt;="&amp;Y3,'2025-2026 Tracker'!$A$2:$A$5000,"&lt;="&amp;EOMONTH(Y3,0),'2025-2026 Tracker'!$B$2:$B$5000,"Expense",'2025-2026 Tracker'!$C$2:$C$5000,"Fixed costs",'2025-2026 Tracker'!$D$2:$D$5000,"Cursor Team")</f>
        <v>0</v>
      </c>
      <c r="Z16" s="3">
        <f>SUMIFS('2025-2026 Tracker'!$K$2:$K$5000,'2025-2026 Tracker'!$A$2:$A$5000,"&gt;="&amp;Z3,'2025-2026 Tracker'!$A$2:$A$5000,"&lt;="&amp;EOMONTH(Z3,0),'2025-2026 Tracker'!$B$2:$B$5000,"Expense",'2025-2026 Tracker'!$C$2:$C$5000,"Fixed costs",'2025-2026 Tracker'!$D$2:$D$5000,"Cursor Team")</f>
        <v>0</v>
      </c>
      <c r="AA16" s="16">
        <f t="shared" si="5"/>
        <v>0</v>
      </c>
    </row>
    <row r="17">
      <c r="A17" s="14" t="s">
        <v>85</v>
      </c>
      <c r="B17" s="8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AA17" s="15">
        <f t="shared" si="5"/>
        <v>0</v>
      </c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AA18" s="8"/>
    </row>
    <row r="19">
      <c r="A19" s="17" t="s">
        <v>86</v>
      </c>
      <c r="B19" s="8"/>
      <c r="C19" s="15">
        <f t="shared" ref="C19:N19" si="6">SUM(C20:C27)</f>
        <v>0</v>
      </c>
      <c r="D19" s="15">
        <f t="shared" si="6"/>
        <v>0</v>
      </c>
      <c r="E19" s="15">
        <f t="shared" si="6"/>
        <v>0</v>
      </c>
      <c r="F19" s="15">
        <f t="shared" si="6"/>
        <v>0</v>
      </c>
      <c r="G19" s="15">
        <f t="shared" si="6"/>
        <v>0</v>
      </c>
      <c r="H19" s="15">
        <f t="shared" si="6"/>
        <v>0</v>
      </c>
      <c r="I19" s="15">
        <f t="shared" si="6"/>
        <v>0</v>
      </c>
      <c r="J19" s="15">
        <f t="shared" si="6"/>
        <v>0</v>
      </c>
      <c r="K19" s="15">
        <f t="shared" si="6"/>
        <v>0</v>
      </c>
      <c r="L19" s="15">
        <f t="shared" si="6"/>
        <v>0</v>
      </c>
      <c r="M19" s="15">
        <f t="shared" si="6"/>
        <v>0</v>
      </c>
      <c r="N19" s="15">
        <f t="shared" si="6"/>
        <v>0</v>
      </c>
      <c r="AA19" s="18">
        <f t="shared" ref="AA19:AA27" si="7">SUM(C19:Z19)</f>
        <v>0</v>
      </c>
    </row>
    <row r="20">
      <c r="A20" s="14" t="s">
        <v>87</v>
      </c>
      <c r="B20" s="8"/>
      <c r="C20" s="15">
        <f>SUMIFS('2025-2026 Tracker'!$K$2:$K$5000,'2025-2026 Tracker'!$A$2:$A$5000,"&gt;="&amp;C3,'2025-2026 Tracker'!$A$2:$A$5000,"&lt;="&amp;EOMONTH(C3,0),'2025-2026 Tracker'!$B$2:$B$5000,"Expense",'2025-2026 Tracker'!$C$2:$C$5000,"Project-specific expenses")</f>
        <v>0</v>
      </c>
      <c r="D20" s="15">
        <f>SUMIFS('2025-2026 Tracker'!$K$2:$K$5000,'2025-2026 Tracker'!$A$2:$A$5000,"&gt;="&amp;D3,'2025-2026 Tracker'!$A$2:$A$5000,"&lt;="&amp;EOMONTH(D3,0),'2025-2026 Tracker'!$B$2:$B$5000,"Expense",'2025-2026 Tracker'!$C$2:$C$5000,"Project-specific expenses")</f>
        <v>0</v>
      </c>
      <c r="E20" s="15">
        <f>SUMIFS('2025-2026 Tracker'!$K$2:$K$5000,'2025-2026 Tracker'!$A$2:$A$5000,"&gt;="&amp;E3,'2025-2026 Tracker'!$A$2:$A$5000,"&lt;="&amp;EOMONTH(E3,0),'2025-2026 Tracker'!$B$2:$B$5000,"Expense",'2025-2026 Tracker'!$C$2:$C$5000,"Project-specific expenses")</f>
        <v>0</v>
      </c>
      <c r="F20" s="15">
        <f>SUMIFS('2025-2026 Tracker'!$K$2:$K$5000,'2025-2026 Tracker'!$A$2:$A$5000,"&gt;="&amp;F3,'2025-2026 Tracker'!$A$2:$A$5000,"&lt;="&amp;EOMONTH(F3,0),'2025-2026 Tracker'!$B$2:$B$5000,"Expense",'2025-2026 Tracker'!$C$2:$C$5000,"Project-specific expenses")</f>
        <v>0</v>
      </c>
      <c r="G20" s="15">
        <f>SUMIFS('2025-2026 Tracker'!$K$2:$K$5000,'2025-2026 Tracker'!$A$2:$A$5000,"&gt;="&amp;G3,'2025-2026 Tracker'!$A$2:$A$5000,"&lt;="&amp;EOMONTH(G3,0),'2025-2026 Tracker'!$B$2:$B$5000,"Expense",'2025-2026 Tracker'!$C$2:$C$5000,"Project-specific expenses")</f>
        <v>0</v>
      </c>
      <c r="H20" s="15">
        <f>SUMIFS('2025-2026 Tracker'!$K$2:$K$5000,'2025-2026 Tracker'!$A$2:$A$5000,"&gt;="&amp;H3,'2025-2026 Tracker'!$A$2:$A$5000,"&lt;="&amp;EOMONTH(H3,0),'2025-2026 Tracker'!$B$2:$B$5000,"Expense",'2025-2026 Tracker'!$C$2:$C$5000,"Project-specific expenses")</f>
        <v>0</v>
      </c>
      <c r="I20" s="15">
        <f>SUMIFS('2025-2026 Tracker'!$K$2:$K$5000,'2025-2026 Tracker'!$A$2:$A$5000,"&gt;="&amp;I3,'2025-2026 Tracker'!$A$2:$A$5000,"&lt;="&amp;EOMONTH(I3,0),'2025-2026 Tracker'!$B$2:$B$5000,"Expense",'2025-2026 Tracker'!$C$2:$C$5000,"Project-specific expenses")</f>
        <v>0</v>
      </c>
      <c r="J20" s="15">
        <f>SUMIFS('2025-2026 Tracker'!$K$2:$K$5000,'2025-2026 Tracker'!$A$2:$A$5000,"&gt;="&amp;J3,'2025-2026 Tracker'!$A$2:$A$5000,"&lt;="&amp;EOMONTH(J3,0),'2025-2026 Tracker'!$B$2:$B$5000,"Expense",'2025-2026 Tracker'!$C$2:$C$5000,"Project-specific expenses")</f>
        <v>0</v>
      </c>
      <c r="K20" s="15">
        <f>SUMIFS('2025-2026 Tracker'!$K$2:$K$5000,'2025-2026 Tracker'!$A$2:$A$5000,"&gt;="&amp;K3,'2025-2026 Tracker'!$A$2:$A$5000,"&lt;="&amp;EOMONTH(K3,0),'2025-2026 Tracker'!$B$2:$B$5000,"Expense",'2025-2026 Tracker'!$C$2:$C$5000,"Project-specific expenses")</f>
        <v>0</v>
      </c>
      <c r="L20" s="15">
        <f>SUMIFS('2025-2026 Tracker'!$K$2:$K$5000,'2025-2026 Tracker'!$A$2:$A$5000,"&gt;="&amp;L3,'2025-2026 Tracker'!$A$2:$A$5000,"&lt;="&amp;EOMONTH(L3,0),'2025-2026 Tracker'!$B$2:$B$5000,"Expense",'2025-2026 Tracker'!$C$2:$C$5000,"Project-specific expenses")</f>
        <v>0</v>
      </c>
      <c r="M20" s="15">
        <f>SUMIFS('2025-2026 Tracker'!$K$2:$K$5000,'2025-2026 Tracker'!$A$2:$A$5000,"&gt;="&amp;M3,'2025-2026 Tracker'!$A$2:$A$5000,"&lt;="&amp;EOMONTH(M3,0),'2025-2026 Tracker'!$B$2:$B$5000,"Expense",'2025-2026 Tracker'!$C$2:$C$5000,"Project-specific expenses")</f>
        <v>0</v>
      </c>
      <c r="N20" s="15">
        <f>SUMIFS('2025-2026 Tracker'!$K$2:$K$5000,'2025-2026 Tracker'!$A$2:$A$5000,"&gt;="&amp;N3,'2025-2026 Tracker'!$A$2:$A$5000,"&lt;="&amp;EOMONTH(N3,0),'2025-2026 Tracker'!$B$2:$B$5000,"Expense",'2025-2026 Tracker'!$C$2:$C$5000,"Project-specific expenses")</f>
        <v>0</v>
      </c>
      <c r="O20" s="3">
        <f>SUMIFS('2025-2026 Tracker'!$K$2:$K$5000,'2025-2026 Tracker'!$A$2:$A$5000,"&gt;="&amp;O3,'2025-2026 Tracker'!$A$2:$A$5000,"&lt;="&amp;EOMONTH(O3,0),'2025-2026 Tracker'!$B$2:$B$5000,"Expense",'2025-2026 Tracker'!$C$2:$C$5000,"Project-specific expenses")</f>
        <v>0</v>
      </c>
      <c r="P20" s="3">
        <f>SUMIFS('2025-2026 Tracker'!$K$2:$K$5000,'2025-2026 Tracker'!$A$2:$A$5000,"&gt;="&amp;P3,'2025-2026 Tracker'!$A$2:$A$5000,"&lt;="&amp;EOMONTH(P3,0),'2025-2026 Tracker'!$B$2:$B$5000,"Expense",'2025-2026 Tracker'!$C$2:$C$5000,"Project-specific expenses")</f>
        <v>0</v>
      </c>
      <c r="Q20" s="3">
        <f>SUMIFS('2025-2026 Tracker'!$K$2:$K$5000,'2025-2026 Tracker'!$A$2:$A$5000,"&gt;="&amp;Q3,'2025-2026 Tracker'!$A$2:$A$5000,"&lt;="&amp;EOMONTH(Q3,0),'2025-2026 Tracker'!$B$2:$B$5000,"Expense",'2025-2026 Tracker'!$C$2:$C$5000,"Project-specific expenses")</f>
        <v>0</v>
      </c>
      <c r="R20" s="3">
        <f>SUMIFS('2025-2026 Tracker'!$K$2:$K$5000,'2025-2026 Tracker'!$A$2:$A$5000,"&gt;="&amp;R3,'2025-2026 Tracker'!$A$2:$A$5000,"&lt;="&amp;EOMONTH(R3,0),'2025-2026 Tracker'!$B$2:$B$5000,"Expense",'2025-2026 Tracker'!$C$2:$C$5000,"Project-specific expenses")</f>
        <v>0</v>
      </c>
      <c r="S20" s="3">
        <f>SUMIFS('2025-2026 Tracker'!$K$2:$K$5000,'2025-2026 Tracker'!$A$2:$A$5000,"&gt;="&amp;S3,'2025-2026 Tracker'!$A$2:$A$5000,"&lt;="&amp;EOMONTH(S3,0),'2025-2026 Tracker'!$B$2:$B$5000,"Expense",'2025-2026 Tracker'!$C$2:$C$5000,"Project-specific expenses")</f>
        <v>0</v>
      </c>
      <c r="T20" s="3">
        <f>SUMIFS('2025-2026 Tracker'!$K$2:$K$5000,'2025-2026 Tracker'!$A$2:$A$5000,"&gt;="&amp;T3,'2025-2026 Tracker'!$A$2:$A$5000,"&lt;="&amp;EOMONTH(T3,0),'2025-2026 Tracker'!$B$2:$B$5000,"Expense",'2025-2026 Tracker'!$C$2:$C$5000,"Project-specific expenses")</f>
        <v>0</v>
      </c>
      <c r="U20" s="3">
        <f>SUMIFS('2025-2026 Tracker'!$K$2:$K$5000,'2025-2026 Tracker'!$A$2:$A$5000,"&gt;="&amp;U3,'2025-2026 Tracker'!$A$2:$A$5000,"&lt;="&amp;EOMONTH(U3,0),'2025-2026 Tracker'!$B$2:$B$5000,"Expense",'2025-2026 Tracker'!$C$2:$C$5000,"Project-specific expenses")</f>
        <v>0</v>
      </c>
      <c r="V20" s="3">
        <f>SUMIFS('2025-2026 Tracker'!$K$2:$K$5000,'2025-2026 Tracker'!$A$2:$A$5000,"&gt;="&amp;V3,'2025-2026 Tracker'!$A$2:$A$5000,"&lt;="&amp;EOMONTH(V3,0),'2025-2026 Tracker'!$B$2:$B$5000,"Expense",'2025-2026 Tracker'!$C$2:$C$5000,"Project-specific expenses")</f>
        <v>0</v>
      </c>
      <c r="W20" s="3">
        <f>SUMIFS('2025-2026 Tracker'!$K$2:$K$5000,'2025-2026 Tracker'!$A$2:$A$5000,"&gt;="&amp;W3,'2025-2026 Tracker'!$A$2:$A$5000,"&lt;="&amp;EOMONTH(W3,0),'2025-2026 Tracker'!$B$2:$B$5000,"Expense",'2025-2026 Tracker'!$C$2:$C$5000,"Project-specific expenses")</f>
        <v>0</v>
      </c>
      <c r="X20" s="3">
        <f>SUMIFS('2025-2026 Tracker'!$K$2:$K$5000,'2025-2026 Tracker'!$A$2:$A$5000,"&gt;="&amp;X3,'2025-2026 Tracker'!$A$2:$A$5000,"&lt;="&amp;EOMONTH(X3,0),'2025-2026 Tracker'!$B$2:$B$5000,"Expense",'2025-2026 Tracker'!$C$2:$C$5000,"Project-specific expenses")</f>
        <v>0</v>
      </c>
      <c r="Y20" s="3">
        <f>SUMIFS('2025-2026 Tracker'!$K$2:$K$5000,'2025-2026 Tracker'!$A$2:$A$5000,"&gt;="&amp;Y3,'2025-2026 Tracker'!$A$2:$A$5000,"&lt;="&amp;EOMONTH(Y3,0),'2025-2026 Tracker'!$B$2:$B$5000,"Expense",'2025-2026 Tracker'!$C$2:$C$5000,"Project-specific expenses")</f>
        <v>0</v>
      </c>
      <c r="Z20" s="3">
        <f>SUMIFS('2025-2026 Tracker'!$K$2:$K$5000,'2025-2026 Tracker'!$A$2:$A$5000,"&gt;="&amp;Z3,'2025-2026 Tracker'!$A$2:$A$5000,"&lt;="&amp;EOMONTH(Z3,0),'2025-2026 Tracker'!$B$2:$B$5000,"Expense",'2025-2026 Tracker'!$C$2:$C$5000,"Project-specific expenses")</f>
        <v>0</v>
      </c>
      <c r="AA20" s="16">
        <f t="shared" si="7"/>
        <v>0</v>
      </c>
    </row>
    <row r="21" ht="15.75" customHeight="1">
      <c r="A21" s="14" t="s">
        <v>88</v>
      </c>
      <c r="B21" s="8"/>
      <c r="C21" s="15">
        <f>SUMIFS('2025-2026 Tracker'!$K$2:$K$5000,'2025-2026 Tracker'!$A$2:$A$5000,"&gt;="&amp;C3,'2025-2026 Tracker'!$A$2:$A$5000,"&lt;="&amp;EOMONTH(C3,0),'2025-2026 Tracker'!$B$2:$B$5000,"Expense",'2025-2026 Tracker'!$C$2:$C$5000,"Events &amp; workshops")</f>
        <v>0</v>
      </c>
      <c r="D21" s="15">
        <f>SUMIFS('2025-2026 Tracker'!$K$2:$K$5000,'2025-2026 Tracker'!$A$2:$A$5000,"&gt;="&amp;D3,'2025-2026 Tracker'!$A$2:$A$5000,"&lt;="&amp;EOMONTH(D3,0),'2025-2026 Tracker'!$B$2:$B$5000,"Expense",'2025-2026 Tracker'!$C$2:$C$5000,"Events &amp; workshops")</f>
        <v>0</v>
      </c>
      <c r="E21" s="15">
        <f>SUMIFS('2025-2026 Tracker'!$K$2:$K$5000,'2025-2026 Tracker'!$A$2:$A$5000,"&gt;="&amp;E3,'2025-2026 Tracker'!$A$2:$A$5000,"&lt;="&amp;EOMONTH(E3,0),'2025-2026 Tracker'!$B$2:$B$5000,"Expense",'2025-2026 Tracker'!$C$2:$C$5000,"Events &amp; workshops")</f>
        <v>0</v>
      </c>
      <c r="F21" s="15">
        <f>SUMIFS('2025-2026 Tracker'!$K$2:$K$5000,'2025-2026 Tracker'!$A$2:$A$5000,"&gt;="&amp;F3,'2025-2026 Tracker'!$A$2:$A$5000,"&lt;="&amp;EOMONTH(F3,0),'2025-2026 Tracker'!$B$2:$B$5000,"Expense",'2025-2026 Tracker'!$C$2:$C$5000,"Events &amp; workshops")</f>
        <v>0</v>
      </c>
      <c r="G21" s="15">
        <f>SUMIFS('2025-2026 Tracker'!$K$2:$K$5000,'2025-2026 Tracker'!$A$2:$A$5000,"&gt;="&amp;G3,'2025-2026 Tracker'!$A$2:$A$5000,"&lt;="&amp;EOMONTH(G3,0),'2025-2026 Tracker'!$B$2:$B$5000,"Expense",'2025-2026 Tracker'!$C$2:$C$5000,"Events &amp; workshops")</f>
        <v>0</v>
      </c>
      <c r="H21" s="15">
        <f>SUMIFS('2025-2026 Tracker'!$K$2:$K$5000,'2025-2026 Tracker'!$A$2:$A$5000,"&gt;="&amp;H3,'2025-2026 Tracker'!$A$2:$A$5000,"&lt;="&amp;EOMONTH(H3,0),'2025-2026 Tracker'!$B$2:$B$5000,"Expense",'2025-2026 Tracker'!$C$2:$C$5000,"Events &amp; workshops")</f>
        <v>0</v>
      </c>
      <c r="I21" s="15">
        <f>SUMIFS('2025-2026 Tracker'!$K$2:$K$5000,'2025-2026 Tracker'!$A$2:$A$5000,"&gt;="&amp;I3,'2025-2026 Tracker'!$A$2:$A$5000,"&lt;="&amp;EOMONTH(I3,0),'2025-2026 Tracker'!$B$2:$B$5000,"Expense",'2025-2026 Tracker'!$C$2:$C$5000,"Events &amp; workshops")</f>
        <v>0</v>
      </c>
      <c r="J21" s="15">
        <f>SUMIFS('2025-2026 Tracker'!$K$2:$K$5000,'2025-2026 Tracker'!$A$2:$A$5000,"&gt;="&amp;J3,'2025-2026 Tracker'!$A$2:$A$5000,"&lt;="&amp;EOMONTH(J3,0),'2025-2026 Tracker'!$B$2:$B$5000,"Expense",'2025-2026 Tracker'!$C$2:$C$5000,"Events &amp; workshops")</f>
        <v>0</v>
      </c>
      <c r="K21" s="15">
        <f>SUMIFS('2025-2026 Tracker'!$K$2:$K$5000,'2025-2026 Tracker'!$A$2:$A$5000,"&gt;="&amp;K3,'2025-2026 Tracker'!$A$2:$A$5000,"&lt;="&amp;EOMONTH(K3,0),'2025-2026 Tracker'!$B$2:$B$5000,"Expense",'2025-2026 Tracker'!$C$2:$C$5000,"Events &amp; workshops")</f>
        <v>0</v>
      </c>
      <c r="L21" s="15">
        <f>SUMIFS('2025-2026 Tracker'!$K$2:$K$5000,'2025-2026 Tracker'!$A$2:$A$5000,"&gt;="&amp;L3,'2025-2026 Tracker'!$A$2:$A$5000,"&lt;="&amp;EOMONTH(L3,0),'2025-2026 Tracker'!$B$2:$B$5000,"Expense",'2025-2026 Tracker'!$C$2:$C$5000,"Events &amp; workshops")</f>
        <v>0</v>
      </c>
      <c r="M21" s="15">
        <f>SUMIFS('2025-2026 Tracker'!$K$2:$K$5000,'2025-2026 Tracker'!$A$2:$A$5000,"&gt;="&amp;M3,'2025-2026 Tracker'!$A$2:$A$5000,"&lt;="&amp;EOMONTH(M3,0),'2025-2026 Tracker'!$B$2:$B$5000,"Expense",'2025-2026 Tracker'!$C$2:$C$5000,"Events &amp; workshops")</f>
        <v>0</v>
      </c>
      <c r="N21" s="15">
        <f>SUMIFS('2025-2026 Tracker'!$K$2:$K$5000,'2025-2026 Tracker'!$A$2:$A$5000,"&gt;="&amp;N3,'2025-2026 Tracker'!$A$2:$A$5000,"&lt;="&amp;EOMONTH(N3,0),'2025-2026 Tracker'!$B$2:$B$5000,"Expense",'2025-2026 Tracker'!$C$2:$C$5000,"Events &amp; workshops")</f>
        <v>0</v>
      </c>
      <c r="O21" s="3">
        <f>SUMIFS('2025-2026 Tracker'!$K$2:$K$5000,'2025-2026 Tracker'!$A$2:$A$5000,"&gt;="&amp;O3,'2025-2026 Tracker'!$A$2:$A$5000,"&lt;="&amp;EOMONTH(O3,0),'2025-2026 Tracker'!$B$2:$B$5000,"Expense",'2025-2026 Tracker'!$C$2:$C$5000,"Events &amp; workshops")</f>
        <v>0</v>
      </c>
      <c r="P21" s="3">
        <f>SUMIFS('2025-2026 Tracker'!$K$2:$K$5000,'2025-2026 Tracker'!$A$2:$A$5000,"&gt;="&amp;P3,'2025-2026 Tracker'!$A$2:$A$5000,"&lt;="&amp;EOMONTH(P3,0),'2025-2026 Tracker'!$B$2:$B$5000,"Expense",'2025-2026 Tracker'!$C$2:$C$5000,"Events &amp; workshops")</f>
        <v>0</v>
      </c>
      <c r="Q21" s="3">
        <f>SUMIFS('2025-2026 Tracker'!$K$2:$K$5000,'2025-2026 Tracker'!$A$2:$A$5000,"&gt;="&amp;Q3,'2025-2026 Tracker'!$A$2:$A$5000,"&lt;="&amp;EOMONTH(Q3,0),'2025-2026 Tracker'!$B$2:$B$5000,"Expense",'2025-2026 Tracker'!$C$2:$C$5000,"Events &amp; workshops")</f>
        <v>0</v>
      </c>
      <c r="R21" s="3">
        <f>SUMIFS('2025-2026 Tracker'!$K$2:$K$5000,'2025-2026 Tracker'!$A$2:$A$5000,"&gt;="&amp;R3,'2025-2026 Tracker'!$A$2:$A$5000,"&lt;="&amp;EOMONTH(R3,0),'2025-2026 Tracker'!$B$2:$B$5000,"Expense",'2025-2026 Tracker'!$C$2:$C$5000,"Events &amp; workshops")</f>
        <v>0</v>
      </c>
      <c r="S21" s="3">
        <f>SUMIFS('2025-2026 Tracker'!$K$2:$K$5000,'2025-2026 Tracker'!$A$2:$A$5000,"&gt;="&amp;S3,'2025-2026 Tracker'!$A$2:$A$5000,"&lt;="&amp;EOMONTH(S3,0),'2025-2026 Tracker'!$B$2:$B$5000,"Expense",'2025-2026 Tracker'!$C$2:$C$5000,"Events &amp; workshops")</f>
        <v>0</v>
      </c>
      <c r="T21" s="3">
        <f>SUMIFS('2025-2026 Tracker'!$K$2:$K$5000,'2025-2026 Tracker'!$A$2:$A$5000,"&gt;="&amp;T3,'2025-2026 Tracker'!$A$2:$A$5000,"&lt;="&amp;EOMONTH(T3,0),'2025-2026 Tracker'!$B$2:$B$5000,"Expense",'2025-2026 Tracker'!$C$2:$C$5000,"Events &amp; workshops")</f>
        <v>0</v>
      </c>
      <c r="U21" s="3">
        <f>SUMIFS('2025-2026 Tracker'!$K$2:$K$5000,'2025-2026 Tracker'!$A$2:$A$5000,"&gt;="&amp;U3,'2025-2026 Tracker'!$A$2:$A$5000,"&lt;="&amp;EOMONTH(U3,0),'2025-2026 Tracker'!$B$2:$B$5000,"Expense",'2025-2026 Tracker'!$C$2:$C$5000,"Events &amp; workshops")</f>
        <v>0</v>
      </c>
      <c r="V21" s="3">
        <f>SUMIFS('2025-2026 Tracker'!$K$2:$K$5000,'2025-2026 Tracker'!$A$2:$A$5000,"&gt;="&amp;V3,'2025-2026 Tracker'!$A$2:$A$5000,"&lt;="&amp;EOMONTH(V3,0),'2025-2026 Tracker'!$B$2:$B$5000,"Expense",'2025-2026 Tracker'!$C$2:$C$5000,"Events &amp; workshops")</f>
        <v>0</v>
      </c>
      <c r="W21" s="3">
        <f>SUMIFS('2025-2026 Tracker'!$K$2:$K$5000,'2025-2026 Tracker'!$A$2:$A$5000,"&gt;="&amp;W3,'2025-2026 Tracker'!$A$2:$A$5000,"&lt;="&amp;EOMONTH(W3,0),'2025-2026 Tracker'!$B$2:$B$5000,"Expense",'2025-2026 Tracker'!$C$2:$C$5000,"Events &amp; workshops")</f>
        <v>0</v>
      </c>
      <c r="X21" s="3">
        <f>SUMIFS('2025-2026 Tracker'!$K$2:$K$5000,'2025-2026 Tracker'!$A$2:$A$5000,"&gt;="&amp;X3,'2025-2026 Tracker'!$A$2:$A$5000,"&lt;="&amp;EOMONTH(X3,0),'2025-2026 Tracker'!$B$2:$B$5000,"Expense",'2025-2026 Tracker'!$C$2:$C$5000,"Events &amp; workshops")</f>
        <v>0</v>
      </c>
      <c r="Y21" s="3">
        <f>SUMIFS('2025-2026 Tracker'!$K$2:$K$5000,'2025-2026 Tracker'!$A$2:$A$5000,"&gt;="&amp;Y3,'2025-2026 Tracker'!$A$2:$A$5000,"&lt;="&amp;EOMONTH(Y3,0),'2025-2026 Tracker'!$B$2:$B$5000,"Expense",'2025-2026 Tracker'!$C$2:$C$5000,"Events &amp; workshops")</f>
        <v>0</v>
      </c>
      <c r="Z21" s="3">
        <f>SUMIFS('2025-2026 Tracker'!$K$2:$K$5000,'2025-2026 Tracker'!$A$2:$A$5000,"&gt;="&amp;Z3,'2025-2026 Tracker'!$A$2:$A$5000,"&lt;="&amp;EOMONTH(Z3,0),'2025-2026 Tracker'!$B$2:$B$5000,"Expense",'2025-2026 Tracker'!$C$2:$C$5000,"Events &amp; workshops")</f>
        <v>0</v>
      </c>
      <c r="AA21" s="16">
        <f t="shared" si="7"/>
        <v>0</v>
      </c>
    </row>
    <row r="22" ht="15.75" customHeight="1">
      <c r="A22" s="14" t="s">
        <v>89</v>
      </c>
      <c r="B22" s="8"/>
      <c r="C22" s="15">
        <f>SUMIFS('2025-2026 Tracker'!$K$2:$K$5000,'2025-2026 Tracker'!$A$2:$A$5000,"&gt;="&amp;C3,'2025-2026 Tracker'!$A$2:$A$5000,"&lt;="&amp;EOMONTH(C3,0),'2025-2026 Tracker'!$B$2:$B$5000,"Expense",'2025-2026 Tracker'!$C$2:$C$5000,"Marketing/Comms")</f>
        <v>0</v>
      </c>
      <c r="D22" s="15">
        <f>SUMIFS('2025-2026 Tracker'!$K$2:$K$5000,'2025-2026 Tracker'!$A$2:$A$5000,"&gt;="&amp;D3,'2025-2026 Tracker'!$A$2:$A$5000,"&lt;="&amp;EOMONTH(D3,0),'2025-2026 Tracker'!$B$2:$B$5000,"Expense",'2025-2026 Tracker'!$C$2:$C$5000,"Marketing/Comms")</f>
        <v>0</v>
      </c>
      <c r="E22" s="15">
        <f>SUMIFS('2025-2026 Tracker'!$K$2:$K$5000,'2025-2026 Tracker'!$A$2:$A$5000,"&gt;="&amp;E3,'2025-2026 Tracker'!$A$2:$A$5000,"&lt;="&amp;EOMONTH(E3,0),'2025-2026 Tracker'!$B$2:$B$5000,"Expense",'2025-2026 Tracker'!$C$2:$C$5000,"Marketing/Comms")</f>
        <v>0</v>
      </c>
      <c r="F22" s="15">
        <f>SUMIFS('2025-2026 Tracker'!$K$2:$K$5000,'2025-2026 Tracker'!$A$2:$A$5000,"&gt;="&amp;F3,'2025-2026 Tracker'!$A$2:$A$5000,"&lt;="&amp;EOMONTH(F3,0),'2025-2026 Tracker'!$B$2:$B$5000,"Expense",'2025-2026 Tracker'!$C$2:$C$5000,"Marketing/Comms")</f>
        <v>0</v>
      </c>
      <c r="G22" s="15">
        <f>SUMIFS('2025-2026 Tracker'!$K$2:$K$5000,'2025-2026 Tracker'!$A$2:$A$5000,"&gt;="&amp;G3,'2025-2026 Tracker'!$A$2:$A$5000,"&lt;="&amp;EOMONTH(G3,0),'2025-2026 Tracker'!$B$2:$B$5000,"Expense",'2025-2026 Tracker'!$C$2:$C$5000,"Marketing/Comms")</f>
        <v>0</v>
      </c>
      <c r="H22" s="15">
        <f>SUMIFS('2025-2026 Tracker'!$K$2:$K$5000,'2025-2026 Tracker'!$A$2:$A$5000,"&gt;="&amp;H3,'2025-2026 Tracker'!$A$2:$A$5000,"&lt;="&amp;EOMONTH(H3,0),'2025-2026 Tracker'!$B$2:$B$5000,"Expense",'2025-2026 Tracker'!$C$2:$C$5000,"Marketing/Comms")</f>
        <v>0</v>
      </c>
      <c r="I22" s="15">
        <f>SUMIFS('2025-2026 Tracker'!$K$2:$K$5000,'2025-2026 Tracker'!$A$2:$A$5000,"&gt;="&amp;I3,'2025-2026 Tracker'!$A$2:$A$5000,"&lt;="&amp;EOMONTH(I3,0),'2025-2026 Tracker'!$B$2:$B$5000,"Expense",'2025-2026 Tracker'!$C$2:$C$5000,"Marketing/Comms")</f>
        <v>0</v>
      </c>
      <c r="J22" s="15">
        <f>SUMIFS('2025-2026 Tracker'!$K$2:$K$5000,'2025-2026 Tracker'!$A$2:$A$5000,"&gt;="&amp;J3,'2025-2026 Tracker'!$A$2:$A$5000,"&lt;="&amp;EOMONTH(J3,0),'2025-2026 Tracker'!$B$2:$B$5000,"Expense",'2025-2026 Tracker'!$C$2:$C$5000,"Marketing/Comms")</f>
        <v>0</v>
      </c>
      <c r="K22" s="15">
        <f>SUMIFS('2025-2026 Tracker'!$K$2:$K$5000,'2025-2026 Tracker'!$A$2:$A$5000,"&gt;="&amp;K3,'2025-2026 Tracker'!$A$2:$A$5000,"&lt;="&amp;EOMONTH(K3,0),'2025-2026 Tracker'!$B$2:$B$5000,"Expense",'2025-2026 Tracker'!$C$2:$C$5000,"Marketing/Comms")</f>
        <v>0</v>
      </c>
      <c r="L22" s="15">
        <f>SUMIFS('2025-2026 Tracker'!$K$2:$K$5000,'2025-2026 Tracker'!$A$2:$A$5000,"&gt;="&amp;L3,'2025-2026 Tracker'!$A$2:$A$5000,"&lt;="&amp;EOMONTH(L3,0),'2025-2026 Tracker'!$B$2:$B$5000,"Expense",'2025-2026 Tracker'!$C$2:$C$5000,"Marketing/Comms")</f>
        <v>0</v>
      </c>
      <c r="M22" s="15">
        <f>SUMIFS('2025-2026 Tracker'!$K$2:$K$5000,'2025-2026 Tracker'!$A$2:$A$5000,"&gt;="&amp;M3,'2025-2026 Tracker'!$A$2:$A$5000,"&lt;="&amp;EOMONTH(M3,0),'2025-2026 Tracker'!$B$2:$B$5000,"Expense",'2025-2026 Tracker'!$C$2:$C$5000,"Marketing/Comms")</f>
        <v>0</v>
      </c>
      <c r="N22" s="15">
        <f>SUMIFS('2025-2026 Tracker'!$K$2:$K$5000,'2025-2026 Tracker'!$A$2:$A$5000,"&gt;="&amp;N3,'2025-2026 Tracker'!$A$2:$A$5000,"&lt;="&amp;EOMONTH(N3,0),'2025-2026 Tracker'!$B$2:$B$5000,"Expense",'2025-2026 Tracker'!$C$2:$C$5000,"Marketing/Comms")</f>
        <v>0</v>
      </c>
      <c r="O22" s="3">
        <f>SUMIFS('2025-2026 Tracker'!$K$2:$K$5000,'2025-2026 Tracker'!$A$2:$A$5000,"&gt;="&amp;O3,'2025-2026 Tracker'!$A$2:$A$5000,"&lt;="&amp;EOMONTH(O3,0),'2025-2026 Tracker'!$B$2:$B$5000,"Expense",'2025-2026 Tracker'!$C$2:$C$5000,"Marketing/Comms")</f>
        <v>0</v>
      </c>
      <c r="P22" s="3">
        <f>SUMIFS('2025-2026 Tracker'!$K$2:$K$5000,'2025-2026 Tracker'!$A$2:$A$5000,"&gt;="&amp;P3,'2025-2026 Tracker'!$A$2:$A$5000,"&lt;="&amp;EOMONTH(P3,0),'2025-2026 Tracker'!$B$2:$B$5000,"Expense",'2025-2026 Tracker'!$C$2:$C$5000,"Marketing/Comms")</f>
        <v>0</v>
      </c>
      <c r="Q22" s="3">
        <f>SUMIFS('2025-2026 Tracker'!$K$2:$K$5000,'2025-2026 Tracker'!$A$2:$A$5000,"&gt;="&amp;Q3,'2025-2026 Tracker'!$A$2:$A$5000,"&lt;="&amp;EOMONTH(Q3,0),'2025-2026 Tracker'!$B$2:$B$5000,"Expense",'2025-2026 Tracker'!$C$2:$C$5000,"Marketing/Comms")</f>
        <v>0</v>
      </c>
      <c r="R22" s="3">
        <f>SUMIFS('2025-2026 Tracker'!$K$2:$K$5000,'2025-2026 Tracker'!$A$2:$A$5000,"&gt;="&amp;R3,'2025-2026 Tracker'!$A$2:$A$5000,"&lt;="&amp;EOMONTH(R3,0),'2025-2026 Tracker'!$B$2:$B$5000,"Expense",'2025-2026 Tracker'!$C$2:$C$5000,"Marketing/Comms")</f>
        <v>0</v>
      </c>
      <c r="S22" s="3">
        <f>SUMIFS('2025-2026 Tracker'!$K$2:$K$5000,'2025-2026 Tracker'!$A$2:$A$5000,"&gt;="&amp;S3,'2025-2026 Tracker'!$A$2:$A$5000,"&lt;="&amp;EOMONTH(S3,0),'2025-2026 Tracker'!$B$2:$B$5000,"Expense",'2025-2026 Tracker'!$C$2:$C$5000,"Marketing/Comms")</f>
        <v>0</v>
      </c>
      <c r="T22" s="3">
        <f>SUMIFS('2025-2026 Tracker'!$K$2:$K$5000,'2025-2026 Tracker'!$A$2:$A$5000,"&gt;="&amp;T3,'2025-2026 Tracker'!$A$2:$A$5000,"&lt;="&amp;EOMONTH(T3,0),'2025-2026 Tracker'!$B$2:$B$5000,"Expense",'2025-2026 Tracker'!$C$2:$C$5000,"Marketing/Comms")</f>
        <v>0</v>
      </c>
      <c r="U22" s="3">
        <f>SUMIFS('2025-2026 Tracker'!$K$2:$K$5000,'2025-2026 Tracker'!$A$2:$A$5000,"&gt;="&amp;U3,'2025-2026 Tracker'!$A$2:$A$5000,"&lt;="&amp;EOMONTH(U3,0),'2025-2026 Tracker'!$B$2:$B$5000,"Expense",'2025-2026 Tracker'!$C$2:$C$5000,"Marketing/Comms")</f>
        <v>0</v>
      </c>
      <c r="V22" s="3">
        <f>SUMIFS('2025-2026 Tracker'!$K$2:$K$5000,'2025-2026 Tracker'!$A$2:$A$5000,"&gt;="&amp;V3,'2025-2026 Tracker'!$A$2:$A$5000,"&lt;="&amp;EOMONTH(V3,0),'2025-2026 Tracker'!$B$2:$B$5000,"Expense",'2025-2026 Tracker'!$C$2:$C$5000,"Marketing/Comms")</f>
        <v>0</v>
      </c>
      <c r="W22" s="3">
        <f>SUMIFS('2025-2026 Tracker'!$K$2:$K$5000,'2025-2026 Tracker'!$A$2:$A$5000,"&gt;="&amp;W3,'2025-2026 Tracker'!$A$2:$A$5000,"&lt;="&amp;EOMONTH(W3,0),'2025-2026 Tracker'!$B$2:$B$5000,"Expense",'2025-2026 Tracker'!$C$2:$C$5000,"Marketing/Comms")</f>
        <v>0</v>
      </c>
      <c r="X22" s="3">
        <f>SUMIFS('2025-2026 Tracker'!$K$2:$K$5000,'2025-2026 Tracker'!$A$2:$A$5000,"&gt;="&amp;X3,'2025-2026 Tracker'!$A$2:$A$5000,"&lt;="&amp;EOMONTH(X3,0),'2025-2026 Tracker'!$B$2:$B$5000,"Expense",'2025-2026 Tracker'!$C$2:$C$5000,"Marketing/Comms")</f>
        <v>0</v>
      </c>
      <c r="Y22" s="3">
        <f>SUMIFS('2025-2026 Tracker'!$K$2:$K$5000,'2025-2026 Tracker'!$A$2:$A$5000,"&gt;="&amp;Y3,'2025-2026 Tracker'!$A$2:$A$5000,"&lt;="&amp;EOMONTH(Y3,0),'2025-2026 Tracker'!$B$2:$B$5000,"Expense",'2025-2026 Tracker'!$C$2:$C$5000,"Marketing/Comms")</f>
        <v>0</v>
      </c>
      <c r="Z22" s="3">
        <f>SUMIFS('2025-2026 Tracker'!$K$2:$K$5000,'2025-2026 Tracker'!$A$2:$A$5000,"&gt;="&amp;Z3,'2025-2026 Tracker'!$A$2:$A$5000,"&lt;="&amp;EOMONTH(Z3,0),'2025-2026 Tracker'!$B$2:$B$5000,"Expense",'2025-2026 Tracker'!$C$2:$C$5000,"Marketing/Comms")</f>
        <v>0</v>
      </c>
      <c r="AA22" s="16">
        <f t="shared" si="7"/>
        <v>0</v>
      </c>
    </row>
    <row r="23" ht="15.75" customHeight="1">
      <c r="A23" s="14" t="s">
        <v>90</v>
      </c>
      <c r="B23" s="8"/>
      <c r="C23" s="15">
        <f>SUMIFS('2025-2026 Tracker'!$K$2:$K$5000,'2025-2026 Tracker'!$A$2:$A$5000,"&gt;="&amp;C3,'2025-2026 Tracker'!$A$2:$A$5000,"&lt;="&amp;EOMONTH(C3,0),'2025-2026 Tracker'!$B$2:$B$5000,"Expense",'2025-2026 Tracker'!$C$2:$C$5000,"Professional services")</f>
        <v>0</v>
      </c>
      <c r="D23" s="15">
        <f>SUMIFS('2025-2026 Tracker'!$K$2:$K$5000,'2025-2026 Tracker'!$A$2:$A$5000,"&gt;="&amp;D3,'2025-2026 Tracker'!$A$2:$A$5000,"&lt;="&amp;EOMONTH(D3,0),'2025-2026 Tracker'!$B$2:$B$5000,"Expense",'2025-2026 Tracker'!$C$2:$C$5000,"Professional services")</f>
        <v>0</v>
      </c>
      <c r="E23" s="15">
        <f>SUMIFS('2025-2026 Tracker'!$K$2:$K$5000,'2025-2026 Tracker'!$A$2:$A$5000,"&gt;="&amp;E3,'2025-2026 Tracker'!$A$2:$A$5000,"&lt;="&amp;EOMONTH(E3,0),'2025-2026 Tracker'!$B$2:$B$5000,"Expense",'2025-2026 Tracker'!$C$2:$C$5000,"Professional services")</f>
        <v>0</v>
      </c>
      <c r="F23" s="15">
        <f>SUMIFS('2025-2026 Tracker'!$K$2:$K$5000,'2025-2026 Tracker'!$A$2:$A$5000,"&gt;="&amp;F3,'2025-2026 Tracker'!$A$2:$A$5000,"&lt;="&amp;EOMONTH(F3,0),'2025-2026 Tracker'!$B$2:$B$5000,"Expense",'2025-2026 Tracker'!$C$2:$C$5000,"Professional services")</f>
        <v>0</v>
      </c>
      <c r="G23" s="15">
        <f>SUMIFS('2025-2026 Tracker'!$K$2:$K$5000,'2025-2026 Tracker'!$A$2:$A$5000,"&gt;="&amp;G3,'2025-2026 Tracker'!$A$2:$A$5000,"&lt;="&amp;EOMONTH(G3,0),'2025-2026 Tracker'!$B$2:$B$5000,"Expense",'2025-2026 Tracker'!$C$2:$C$5000,"Professional services")</f>
        <v>0</v>
      </c>
      <c r="H23" s="15">
        <f>SUMIFS('2025-2026 Tracker'!$K$2:$K$5000,'2025-2026 Tracker'!$A$2:$A$5000,"&gt;="&amp;H3,'2025-2026 Tracker'!$A$2:$A$5000,"&lt;="&amp;EOMONTH(H3,0),'2025-2026 Tracker'!$B$2:$B$5000,"Expense",'2025-2026 Tracker'!$C$2:$C$5000,"Professional services")</f>
        <v>0</v>
      </c>
      <c r="I23" s="15">
        <f>SUMIFS('2025-2026 Tracker'!$K$2:$K$5000,'2025-2026 Tracker'!$A$2:$A$5000,"&gt;="&amp;I3,'2025-2026 Tracker'!$A$2:$A$5000,"&lt;="&amp;EOMONTH(I3,0),'2025-2026 Tracker'!$B$2:$B$5000,"Expense",'2025-2026 Tracker'!$C$2:$C$5000,"Professional services")</f>
        <v>0</v>
      </c>
      <c r="J23" s="15">
        <f>SUMIFS('2025-2026 Tracker'!$K$2:$K$5000,'2025-2026 Tracker'!$A$2:$A$5000,"&gt;="&amp;J3,'2025-2026 Tracker'!$A$2:$A$5000,"&lt;="&amp;EOMONTH(J3,0),'2025-2026 Tracker'!$B$2:$B$5000,"Expense",'2025-2026 Tracker'!$C$2:$C$5000,"Professional services")</f>
        <v>0</v>
      </c>
      <c r="K23" s="15">
        <f>SUMIFS('2025-2026 Tracker'!$K$2:$K$5000,'2025-2026 Tracker'!$A$2:$A$5000,"&gt;="&amp;K3,'2025-2026 Tracker'!$A$2:$A$5000,"&lt;="&amp;EOMONTH(K3,0),'2025-2026 Tracker'!$B$2:$B$5000,"Expense",'2025-2026 Tracker'!$C$2:$C$5000,"Professional services")</f>
        <v>0</v>
      </c>
      <c r="L23" s="15">
        <f>SUMIFS('2025-2026 Tracker'!$K$2:$K$5000,'2025-2026 Tracker'!$A$2:$A$5000,"&gt;="&amp;L3,'2025-2026 Tracker'!$A$2:$A$5000,"&lt;="&amp;EOMONTH(L3,0),'2025-2026 Tracker'!$B$2:$B$5000,"Expense",'2025-2026 Tracker'!$C$2:$C$5000,"Professional services")</f>
        <v>0</v>
      </c>
      <c r="M23" s="15">
        <f>SUMIFS('2025-2026 Tracker'!$K$2:$K$5000,'2025-2026 Tracker'!$A$2:$A$5000,"&gt;="&amp;M3,'2025-2026 Tracker'!$A$2:$A$5000,"&lt;="&amp;EOMONTH(M3,0),'2025-2026 Tracker'!$B$2:$B$5000,"Expense",'2025-2026 Tracker'!$C$2:$C$5000,"Professional services")</f>
        <v>0</v>
      </c>
      <c r="N23" s="15">
        <f>SUMIFS('2025-2026 Tracker'!$K$2:$K$5000,'2025-2026 Tracker'!$A$2:$A$5000,"&gt;="&amp;N3,'2025-2026 Tracker'!$A$2:$A$5000,"&lt;="&amp;EOMONTH(N3,0),'2025-2026 Tracker'!$B$2:$B$5000,"Expense",'2025-2026 Tracker'!$C$2:$C$5000,"Professional services")</f>
        <v>0</v>
      </c>
      <c r="O23" s="3">
        <f>SUMIFS('2025-2026 Tracker'!$K$2:$K$5000,'2025-2026 Tracker'!$A$2:$A$5000,"&gt;="&amp;O3,'2025-2026 Tracker'!$A$2:$A$5000,"&lt;="&amp;EOMONTH(O3,0),'2025-2026 Tracker'!$B$2:$B$5000,"Expense",'2025-2026 Tracker'!$C$2:$C$5000,"Professional services")</f>
        <v>0</v>
      </c>
      <c r="P23" s="3">
        <f>SUMIFS('2025-2026 Tracker'!$K$2:$K$5000,'2025-2026 Tracker'!$A$2:$A$5000,"&gt;="&amp;P3,'2025-2026 Tracker'!$A$2:$A$5000,"&lt;="&amp;EOMONTH(P3,0),'2025-2026 Tracker'!$B$2:$B$5000,"Expense",'2025-2026 Tracker'!$C$2:$C$5000,"Professional services")</f>
        <v>0</v>
      </c>
      <c r="Q23" s="3">
        <f>SUMIFS('2025-2026 Tracker'!$K$2:$K$5000,'2025-2026 Tracker'!$A$2:$A$5000,"&gt;="&amp;Q3,'2025-2026 Tracker'!$A$2:$A$5000,"&lt;="&amp;EOMONTH(Q3,0),'2025-2026 Tracker'!$B$2:$B$5000,"Expense",'2025-2026 Tracker'!$C$2:$C$5000,"Professional services")</f>
        <v>0</v>
      </c>
      <c r="R23" s="3">
        <f>SUMIFS('2025-2026 Tracker'!$K$2:$K$5000,'2025-2026 Tracker'!$A$2:$A$5000,"&gt;="&amp;R3,'2025-2026 Tracker'!$A$2:$A$5000,"&lt;="&amp;EOMONTH(R3,0),'2025-2026 Tracker'!$B$2:$B$5000,"Expense",'2025-2026 Tracker'!$C$2:$C$5000,"Professional services")</f>
        <v>0</v>
      </c>
      <c r="S23" s="3">
        <f>SUMIFS('2025-2026 Tracker'!$K$2:$K$5000,'2025-2026 Tracker'!$A$2:$A$5000,"&gt;="&amp;S3,'2025-2026 Tracker'!$A$2:$A$5000,"&lt;="&amp;EOMONTH(S3,0),'2025-2026 Tracker'!$B$2:$B$5000,"Expense",'2025-2026 Tracker'!$C$2:$C$5000,"Professional services")</f>
        <v>0</v>
      </c>
      <c r="T23" s="3">
        <f>SUMIFS('2025-2026 Tracker'!$K$2:$K$5000,'2025-2026 Tracker'!$A$2:$A$5000,"&gt;="&amp;T3,'2025-2026 Tracker'!$A$2:$A$5000,"&lt;="&amp;EOMONTH(T3,0),'2025-2026 Tracker'!$B$2:$B$5000,"Expense",'2025-2026 Tracker'!$C$2:$C$5000,"Professional services")</f>
        <v>0</v>
      </c>
      <c r="U23" s="3">
        <f>SUMIFS('2025-2026 Tracker'!$K$2:$K$5000,'2025-2026 Tracker'!$A$2:$A$5000,"&gt;="&amp;U3,'2025-2026 Tracker'!$A$2:$A$5000,"&lt;="&amp;EOMONTH(U3,0),'2025-2026 Tracker'!$B$2:$B$5000,"Expense",'2025-2026 Tracker'!$C$2:$C$5000,"Professional services")</f>
        <v>0</v>
      </c>
      <c r="V23" s="3">
        <f>SUMIFS('2025-2026 Tracker'!$K$2:$K$5000,'2025-2026 Tracker'!$A$2:$A$5000,"&gt;="&amp;V3,'2025-2026 Tracker'!$A$2:$A$5000,"&lt;="&amp;EOMONTH(V3,0),'2025-2026 Tracker'!$B$2:$B$5000,"Expense",'2025-2026 Tracker'!$C$2:$C$5000,"Professional services")</f>
        <v>0</v>
      </c>
      <c r="W23" s="3">
        <f>SUMIFS('2025-2026 Tracker'!$K$2:$K$5000,'2025-2026 Tracker'!$A$2:$A$5000,"&gt;="&amp;W3,'2025-2026 Tracker'!$A$2:$A$5000,"&lt;="&amp;EOMONTH(W3,0),'2025-2026 Tracker'!$B$2:$B$5000,"Expense",'2025-2026 Tracker'!$C$2:$C$5000,"Professional services")</f>
        <v>0</v>
      </c>
      <c r="X23" s="3">
        <f>SUMIFS('2025-2026 Tracker'!$K$2:$K$5000,'2025-2026 Tracker'!$A$2:$A$5000,"&gt;="&amp;X3,'2025-2026 Tracker'!$A$2:$A$5000,"&lt;="&amp;EOMONTH(X3,0),'2025-2026 Tracker'!$B$2:$B$5000,"Expense",'2025-2026 Tracker'!$C$2:$C$5000,"Professional services")</f>
        <v>0</v>
      </c>
      <c r="Y23" s="3">
        <f>SUMIFS('2025-2026 Tracker'!$K$2:$K$5000,'2025-2026 Tracker'!$A$2:$A$5000,"&gt;="&amp;Y3,'2025-2026 Tracker'!$A$2:$A$5000,"&lt;="&amp;EOMONTH(Y3,0),'2025-2026 Tracker'!$B$2:$B$5000,"Expense",'2025-2026 Tracker'!$C$2:$C$5000,"Professional services")</f>
        <v>0</v>
      </c>
      <c r="Z23" s="3">
        <f>SUMIFS('2025-2026 Tracker'!$K$2:$K$5000,'2025-2026 Tracker'!$A$2:$A$5000,"&gt;="&amp;Z3,'2025-2026 Tracker'!$A$2:$A$5000,"&lt;="&amp;EOMONTH(Z3,0),'2025-2026 Tracker'!$B$2:$B$5000,"Expense",'2025-2026 Tracker'!$C$2:$C$5000,"Professional services")</f>
        <v>0</v>
      </c>
      <c r="AA23" s="16">
        <f t="shared" si="7"/>
        <v>0</v>
      </c>
    </row>
    <row r="24" ht="15.75" customHeight="1">
      <c r="A24" s="14" t="s">
        <v>91</v>
      </c>
      <c r="B24" s="8"/>
      <c r="C24" s="15">
        <f>SUMIFS('2025-2026 Tracker'!$K$2:$K$5000,'2025-2026 Tracker'!$A$2:$A$5000,"&gt;="&amp;C3,'2025-2026 Tracker'!$A$2:$A$5000,"&lt;="&amp;EOMONTH(C3,0),'2025-2026 Tracker'!$B$2:$B$5000,"Expense",'2025-2026 Tracker'!$C$2:$C$5000,"Infrastructure/Hosting")</f>
        <v>0</v>
      </c>
      <c r="D24" s="15">
        <f>SUMIFS('2025-2026 Tracker'!$K$2:$K$5000,'2025-2026 Tracker'!$A$2:$A$5000,"&gt;="&amp;D3,'2025-2026 Tracker'!$A$2:$A$5000,"&lt;="&amp;EOMONTH(D3,0),'2025-2026 Tracker'!$B$2:$B$5000,"Expense",'2025-2026 Tracker'!$C$2:$C$5000,"Infrastructure/Hosting")</f>
        <v>0</v>
      </c>
      <c r="E24" s="15">
        <f>SUMIFS('2025-2026 Tracker'!$K$2:$K$5000,'2025-2026 Tracker'!$A$2:$A$5000,"&gt;="&amp;E3,'2025-2026 Tracker'!$A$2:$A$5000,"&lt;="&amp;EOMONTH(E3,0),'2025-2026 Tracker'!$B$2:$B$5000,"Expense",'2025-2026 Tracker'!$C$2:$C$5000,"Infrastructure/Hosting")</f>
        <v>0</v>
      </c>
      <c r="F24" s="15">
        <f>SUMIFS('2025-2026 Tracker'!$K$2:$K$5000,'2025-2026 Tracker'!$A$2:$A$5000,"&gt;="&amp;F3,'2025-2026 Tracker'!$A$2:$A$5000,"&lt;="&amp;EOMONTH(F3,0),'2025-2026 Tracker'!$B$2:$B$5000,"Expense",'2025-2026 Tracker'!$C$2:$C$5000,"Infrastructure/Hosting")</f>
        <v>0</v>
      </c>
      <c r="G24" s="15">
        <f>SUMIFS('2025-2026 Tracker'!$K$2:$K$5000,'2025-2026 Tracker'!$A$2:$A$5000,"&gt;="&amp;G3,'2025-2026 Tracker'!$A$2:$A$5000,"&lt;="&amp;EOMONTH(G3,0),'2025-2026 Tracker'!$B$2:$B$5000,"Expense",'2025-2026 Tracker'!$C$2:$C$5000,"Infrastructure/Hosting")</f>
        <v>0</v>
      </c>
      <c r="H24" s="15">
        <f>SUMIFS('2025-2026 Tracker'!$K$2:$K$5000,'2025-2026 Tracker'!$A$2:$A$5000,"&gt;="&amp;H3,'2025-2026 Tracker'!$A$2:$A$5000,"&lt;="&amp;EOMONTH(H3,0),'2025-2026 Tracker'!$B$2:$B$5000,"Expense",'2025-2026 Tracker'!$C$2:$C$5000,"Infrastructure/Hosting")</f>
        <v>0</v>
      </c>
      <c r="I24" s="15">
        <f>SUMIFS('2025-2026 Tracker'!$K$2:$K$5000,'2025-2026 Tracker'!$A$2:$A$5000,"&gt;="&amp;I3,'2025-2026 Tracker'!$A$2:$A$5000,"&lt;="&amp;EOMONTH(I3,0),'2025-2026 Tracker'!$B$2:$B$5000,"Expense",'2025-2026 Tracker'!$C$2:$C$5000,"Infrastructure/Hosting")</f>
        <v>0</v>
      </c>
      <c r="J24" s="15">
        <f>SUMIFS('2025-2026 Tracker'!$K$2:$K$5000,'2025-2026 Tracker'!$A$2:$A$5000,"&gt;="&amp;J3,'2025-2026 Tracker'!$A$2:$A$5000,"&lt;="&amp;EOMONTH(J3,0),'2025-2026 Tracker'!$B$2:$B$5000,"Expense",'2025-2026 Tracker'!$C$2:$C$5000,"Infrastructure/Hosting")</f>
        <v>0</v>
      </c>
      <c r="K24" s="15">
        <f>SUMIFS('2025-2026 Tracker'!$K$2:$K$5000,'2025-2026 Tracker'!$A$2:$A$5000,"&gt;="&amp;K3,'2025-2026 Tracker'!$A$2:$A$5000,"&lt;="&amp;EOMONTH(K3,0),'2025-2026 Tracker'!$B$2:$B$5000,"Expense",'2025-2026 Tracker'!$C$2:$C$5000,"Infrastructure/Hosting")</f>
        <v>0</v>
      </c>
      <c r="L24" s="15">
        <f>SUMIFS('2025-2026 Tracker'!$K$2:$K$5000,'2025-2026 Tracker'!$A$2:$A$5000,"&gt;="&amp;L3,'2025-2026 Tracker'!$A$2:$A$5000,"&lt;="&amp;EOMONTH(L3,0),'2025-2026 Tracker'!$B$2:$B$5000,"Expense",'2025-2026 Tracker'!$C$2:$C$5000,"Infrastructure/Hosting")</f>
        <v>0</v>
      </c>
      <c r="M24" s="15">
        <f>SUMIFS('2025-2026 Tracker'!$K$2:$K$5000,'2025-2026 Tracker'!$A$2:$A$5000,"&gt;="&amp;M3,'2025-2026 Tracker'!$A$2:$A$5000,"&lt;="&amp;EOMONTH(M3,0),'2025-2026 Tracker'!$B$2:$B$5000,"Expense",'2025-2026 Tracker'!$C$2:$C$5000,"Infrastructure/Hosting")</f>
        <v>0</v>
      </c>
      <c r="N24" s="15">
        <f>SUMIFS('2025-2026 Tracker'!$K$2:$K$5000,'2025-2026 Tracker'!$A$2:$A$5000,"&gt;="&amp;N3,'2025-2026 Tracker'!$A$2:$A$5000,"&lt;="&amp;EOMONTH(N3,0),'2025-2026 Tracker'!$B$2:$B$5000,"Expense",'2025-2026 Tracker'!$C$2:$C$5000,"Infrastructure/Hosting")</f>
        <v>0</v>
      </c>
      <c r="O24" s="3">
        <f>SUMIFS('2025-2026 Tracker'!$K$2:$K$5000,'2025-2026 Tracker'!$A$2:$A$5000,"&gt;="&amp;O3,'2025-2026 Tracker'!$A$2:$A$5000,"&lt;="&amp;EOMONTH(O3,0),'2025-2026 Tracker'!$B$2:$B$5000,"Expense",'2025-2026 Tracker'!$C$2:$C$5000,"Infrastructure/Hosting")</f>
        <v>0</v>
      </c>
      <c r="P24" s="3">
        <f>SUMIFS('2025-2026 Tracker'!$K$2:$K$5000,'2025-2026 Tracker'!$A$2:$A$5000,"&gt;="&amp;P3,'2025-2026 Tracker'!$A$2:$A$5000,"&lt;="&amp;EOMONTH(P3,0),'2025-2026 Tracker'!$B$2:$B$5000,"Expense",'2025-2026 Tracker'!$C$2:$C$5000,"Infrastructure/Hosting")</f>
        <v>0</v>
      </c>
      <c r="Q24" s="3">
        <f>SUMIFS('2025-2026 Tracker'!$K$2:$K$5000,'2025-2026 Tracker'!$A$2:$A$5000,"&gt;="&amp;Q3,'2025-2026 Tracker'!$A$2:$A$5000,"&lt;="&amp;EOMONTH(Q3,0),'2025-2026 Tracker'!$B$2:$B$5000,"Expense",'2025-2026 Tracker'!$C$2:$C$5000,"Infrastructure/Hosting")</f>
        <v>0</v>
      </c>
      <c r="R24" s="3">
        <f>SUMIFS('2025-2026 Tracker'!$K$2:$K$5000,'2025-2026 Tracker'!$A$2:$A$5000,"&gt;="&amp;R3,'2025-2026 Tracker'!$A$2:$A$5000,"&lt;="&amp;EOMONTH(R3,0),'2025-2026 Tracker'!$B$2:$B$5000,"Expense",'2025-2026 Tracker'!$C$2:$C$5000,"Infrastructure/Hosting")</f>
        <v>0</v>
      </c>
      <c r="S24" s="3">
        <f>SUMIFS('2025-2026 Tracker'!$K$2:$K$5000,'2025-2026 Tracker'!$A$2:$A$5000,"&gt;="&amp;S3,'2025-2026 Tracker'!$A$2:$A$5000,"&lt;="&amp;EOMONTH(S3,0),'2025-2026 Tracker'!$B$2:$B$5000,"Expense",'2025-2026 Tracker'!$C$2:$C$5000,"Infrastructure/Hosting")</f>
        <v>0</v>
      </c>
      <c r="T24" s="3">
        <f>SUMIFS('2025-2026 Tracker'!$K$2:$K$5000,'2025-2026 Tracker'!$A$2:$A$5000,"&gt;="&amp;T3,'2025-2026 Tracker'!$A$2:$A$5000,"&lt;="&amp;EOMONTH(T3,0),'2025-2026 Tracker'!$B$2:$B$5000,"Expense",'2025-2026 Tracker'!$C$2:$C$5000,"Infrastructure/Hosting")</f>
        <v>0</v>
      </c>
      <c r="U24" s="3">
        <f>SUMIFS('2025-2026 Tracker'!$K$2:$K$5000,'2025-2026 Tracker'!$A$2:$A$5000,"&gt;="&amp;U3,'2025-2026 Tracker'!$A$2:$A$5000,"&lt;="&amp;EOMONTH(U3,0),'2025-2026 Tracker'!$B$2:$B$5000,"Expense",'2025-2026 Tracker'!$C$2:$C$5000,"Infrastructure/Hosting")</f>
        <v>0</v>
      </c>
      <c r="V24" s="3">
        <f>SUMIFS('2025-2026 Tracker'!$K$2:$K$5000,'2025-2026 Tracker'!$A$2:$A$5000,"&gt;="&amp;V3,'2025-2026 Tracker'!$A$2:$A$5000,"&lt;="&amp;EOMONTH(V3,0),'2025-2026 Tracker'!$B$2:$B$5000,"Expense",'2025-2026 Tracker'!$C$2:$C$5000,"Infrastructure/Hosting")</f>
        <v>0</v>
      </c>
      <c r="W24" s="3">
        <f>SUMIFS('2025-2026 Tracker'!$K$2:$K$5000,'2025-2026 Tracker'!$A$2:$A$5000,"&gt;="&amp;W3,'2025-2026 Tracker'!$A$2:$A$5000,"&lt;="&amp;EOMONTH(W3,0),'2025-2026 Tracker'!$B$2:$B$5000,"Expense",'2025-2026 Tracker'!$C$2:$C$5000,"Infrastructure/Hosting")</f>
        <v>0</v>
      </c>
      <c r="X24" s="3">
        <f>SUMIFS('2025-2026 Tracker'!$K$2:$K$5000,'2025-2026 Tracker'!$A$2:$A$5000,"&gt;="&amp;X3,'2025-2026 Tracker'!$A$2:$A$5000,"&lt;="&amp;EOMONTH(X3,0),'2025-2026 Tracker'!$B$2:$B$5000,"Expense",'2025-2026 Tracker'!$C$2:$C$5000,"Infrastructure/Hosting")</f>
        <v>0</v>
      </c>
      <c r="Y24" s="3">
        <f>SUMIFS('2025-2026 Tracker'!$K$2:$K$5000,'2025-2026 Tracker'!$A$2:$A$5000,"&gt;="&amp;Y3,'2025-2026 Tracker'!$A$2:$A$5000,"&lt;="&amp;EOMONTH(Y3,0),'2025-2026 Tracker'!$B$2:$B$5000,"Expense",'2025-2026 Tracker'!$C$2:$C$5000,"Infrastructure/Hosting")</f>
        <v>0</v>
      </c>
      <c r="Z24" s="3">
        <f>SUMIFS('2025-2026 Tracker'!$K$2:$K$5000,'2025-2026 Tracker'!$A$2:$A$5000,"&gt;="&amp;Z3,'2025-2026 Tracker'!$A$2:$A$5000,"&lt;="&amp;EOMONTH(Z3,0),'2025-2026 Tracker'!$B$2:$B$5000,"Expense",'2025-2026 Tracker'!$C$2:$C$5000,"Infrastructure/Hosting")</f>
        <v>0</v>
      </c>
      <c r="AA24" s="16">
        <f t="shared" si="7"/>
        <v>0</v>
      </c>
    </row>
    <row r="25" ht="15.75" customHeight="1">
      <c r="A25" s="14" t="s">
        <v>92</v>
      </c>
      <c r="B25" s="8"/>
      <c r="C25" s="15">
        <f>SUMIFS('2025-2026 Tracker'!$K$2:$K$5000,'2025-2026 Tracker'!$A$2:$A$5000,"&gt;="&amp;C3,'2025-2026 Tracker'!$A$2:$A$5000,"&lt;="&amp;EOMONTH(C3,0),'2025-2026 Tracker'!$B$2:$B$5000,"Expense",'2025-2026 Tracker'!$C$2:$C$5000,"Travel &amp; meetings")</f>
        <v>0</v>
      </c>
      <c r="D25" s="15">
        <f>SUMIFS('2025-2026 Tracker'!$K$2:$K$5000,'2025-2026 Tracker'!$A$2:$A$5000,"&gt;="&amp;D3,'2025-2026 Tracker'!$A$2:$A$5000,"&lt;="&amp;EOMONTH(D3,0),'2025-2026 Tracker'!$B$2:$B$5000,"Expense",'2025-2026 Tracker'!$C$2:$C$5000,"Travel &amp; meetings")</f>
        <v>0</v>
      </c>
      <c r="E25" s="15">
        <f>SUMIFS('2025-2026 Tracker'!$K$2:$K$5000,'2025-2026 Tracker'!$A$2:$A$5000,"&gt;="&amp;E3,'2025-2026 Tracker'!$A$2:$A$5000,"&lt;="&amp;EOMONTH(E3,0),'2025-2026 Tracker'!$B$2:$B$5000,"Expense",'2025-2026 Tracker'!$C$2:$C$5000,"Travel &amp; meetings")</f>
        <v>0</v>
      </c>
      <c r="F25" s="15">
        <f>SUMIFS('2025-2026 Tracker'!$K$2:$K$5000,'2025-2026 Tracker'!$A$2:$A$5000,"&gt;="&amp;F3,'2025-2026 Tracker'!$A$2:$A$5000,"&lt;="&amp;EOMONTH(F3,0),'2025-2026 Tracker'!$B$2:$B$5000,"Expense",'2025-2026 Tracker'!$C$2:$C$5000,"Travel &amp; meetings")</f>
        <v>0</v>
      </c>
      <c r="G25" s="15">
        <f>SUMIFS('2025-2026 Tracker'!$K$2:$K$5000,'2025-2026 Tracker'!$A$2:$A$5000,"&gt;="&amp;G3,'2025-2026 Tracker'!$A$2:$A$5000,"&lt;="&amp;EOMONTH(G3,0),'2025-2026 Tracker'!$B$2:$B$5000,"Expense",'2025-2026 Tracker'!$C$2:$C$5000,"Travel &amp; meetings")</f>
        <v>0</v>
      </c>
      <c r="H25" s="15">
        <f>SUMIFS('2025-2026 Tracker'!$K$2:$K$5000,'2025-2026 Tracker'!$A$2:$A$5000,"&gt;="&amp;H3,'2025-2026 Tracker'!$A$2:$A$5000,"&lt;="&amp;EOMONTH(H3,0),'2025-2026 Tracker'!$B$2:$B$5000,"Expense",'2025-2026 Tracker'!$C$2:$C$5000,"Travel &amp; meetings")</f>
        <v>0</v>
      </c>
      <c r="I25" s="15">
        <f>SUMIFS('2025-2026 Tracker'!$K$2:$K$5000,'2025-2026 Tracker'!$A$2:$A$5000,"&gt;="&amp;I3,'2025-2026 Tracker'!$A$2:$A$5000,"&lt;="&amp;EOMONTH(I3,0),'2025-2026 Tracker'!$B$2:$B$5000,"Expense",'2025-2026 Tracker'!$C$2:$C$5000,"Travel &amp; meetings")</f>
        <v>0</v>
      </c>
      <c r="J25" s="15">
        <f>SUMIFS('2025-2026 Tracker'!$K$2:$K$5000,'2025-2026 Tracker'!$A$2:$A$5000,"&gt;="&amp;J3,'2025-2026 Tracker'!$A$2:$A$5000,"&lt;="&amp;EOMONTH(J3,0),'2025-2026 Tracker'!$B$2:$B$5000,"Expense",'2025-2026 Tracker'!$C$2:$C$5000,"Travel &amp; meetings")</f>
        <v>0</v>
      </c>
      <c r="K25" s="15">
        <f>SUMIFS('2025-2026 Tracker'!$K$2:$K$5000,'2025-2026 Tracker'!$A$2:$A$5000,"&gt;="&amp;K3,'2025-2026 Tracker'!$A$2:$A$5000,"&lt;="&amp;EOMONTH(K3,0),'2025-2026 Tracker'!$B$2:$B$5000,"Expense",'2025-2026 Tracker'!$C$2:$C$5000,"Travel &amp; meetings")</f>
        <v>0</v>
      </c>
      <c r="L25" s="15">
        <f>SUMIFS('2025-2026 Tracker'!$K$2:$K$5000,'2025-2026 Tracker'!$A$2:$A$5000,"&gt;="&amp;L3,'2025-2026 Tracker'!$A$2:$A$5000,"&lt;="&amp;EOMONTH(L3,0),'2025-2026 Tracker'!$B$2:$B$5000,"Expense",'2025-2026 Tracker'!$C$2:$C$5000,"Travel &amp; meetings")</f>
        <v>0</v>
      </c>
      <c r="M25" s="15">
        <f>SUMIFS('2025-2026 Tracker'!$K$2:$K$5000,'2025-2026 Tracker'!$A$2:$A$5000,"&gt;="&amp;M3,'2025-2026 Tracker'!$A$2:$A$5000,"&lt;="&amp;EOMONTH(M3,0),'2025-2026 Tracker'!$B$2:$B$5000,"Expense",'2025-2026 Tracker'!$C$2:$C$5000,"Travel &amp; meetings")</f>
        <v>0</v>
      </c>
      <c r="N25" s="15">
        <f>SUMIFS('2025-2026 Tracker'!$K$2:$K$5000,'2025-2026 Tracker'!$A$2:$A$5000,"&gt;="&amp;N3,'2025-2026 Tracker'!$A$2:$A$5000,"&lt;="&amp;EOMONTH(N3,0),'2025-2026 Tracker'!$B$2:$B$5000,"Expense",'2025-2026 Tracker'!$C$2:$C$5000,"Travel &amp; meetings")</f>
        <v>0</v>
      </c>
      <c r="O25" s="3">
        <f>SUMIFS('2025-2026 Tracker'!$K$2:$K$5000,'2025-2026 Tracker'!$A$2:$A$5000,"&gt;="&amp;O3,'2025-2026 Tracker'!$A$2:$A$5000,"&lt;="&amp;EOMONTH(O3,0),'2025-2026 Tracker'!$B$2:$B$5000,"Expense",'2025-2026 Tracker'!$C$2:$C$5000,"Travel &amp; meetings")</f>
        <v>0</v>
      </c>
      <c r="P25" s="3">
        <f>SUMIFS('2025-2026 Tracker'!$K$2:$K$5000,'2025-2026 Tracker'!$A$2:$A$5000,"&gt;="&amp;P3,'2025-2026 Tracker'!$A$2:$A$5000,"&lt;="&amp;EOMONTH(P3,0),'2025-2026 Tracker'!$B$2:$B$5000,"Expense",'2025-2026 Tracker'!$C$2:$C$5000,"Travel &amp; meetings")</f>
        <v>0</v>
      </c>
      <c r="Q25" s="3">
        <f>SUMIFS('2025-2026 Tracker'!$K$2:$K$5000,'2025-2026 Tracker'!$A$2:$A$5000,"&gt;="&amp;Q3,'2025-2026 Tracker'!$A$2:$A$5000,"&lt;="&amp;EOMONTH(Q3,0),'2025-2026 Tracker'!$B$2:$B$5000,"Expense",'2025-2026 Tracker'!$C$2:$C$5000,"Travel &amp; meetings")</f>
        <v>0</v>
      </c>
      <c r="R25" s="3">
        <f>SUMIFS('2025-2026 Tracker'!$K$2:$K$5000,'2025-2026 Tracker'!$A$2:$A$5000,"&gt;="&amp;R3,'2025-2026 Tracker'!$A$2:$A$5000,"&lt;="&amp;EOMONTH(R3,0),'2025-2026 Tracker'!$B$2:$B$5000,"Expense",'2025-2026 Tracker'!$C$2:$C$5000,"Travel &amp; meetings")</f>
        <v>0</v>
      </c>
      <c r="S25" s="3">
        <f>SUMIFS('2025-2026 Tracker'!$K$2:$K$5000,'2025-2026 Tracker'!$A$2:$A$5000,"&gt;="&amp;S3,'2025-2026 Tracker'!$A$2:$A$5000,"&lt;="&amp;EOMONTH(S3,0),'2025-2026 Tracker'!$B$2:$B$5000,"Expense",'2025-2026 Tracker'!$C$2:$C$5000,"Travel &amp; meetings")</f>
        <v>0</v>
      </c>
      <c r="T25" s="3">
        <f>SUMIFS('2025-2026 Tracker'!$K$2:$K$5000,'2025-2026 Tracker'!$A$2:$A$5000,"&gt;="&amp;T3,'2025-2026 Tracker'!$A$2:$A$5000,"&lt;="&amp;EOMONTH(T3,0),'2025-2026 Tracker'!$B$2:$B$5000,"Expense",'2025-2026 Tracker'!$C$2:$C$5000,"Travel &amp; meetings")</f>
        <v>0</v>
      </c>
      <c r="U25" s="3">
        <f>SUMIFS('2025-2026 Tracker'!$K$2:$K$5000,'2025-2026 Tracker'!$A$2:$A$5000,"&gt;="&amp;U3,'2025-2026 Tracker'!$A$2:$A$5000,"&lt;="&amp;EOMONTH(U3,0),'2025-2026 Tracker'!$B$2:$B$5000,"Expense",'2025-2026 Tracker'!$C$2:$C$5000,"Travel &amp; meetings")</f>
        <v>0</v>
      </c>
      <c r="V25" s="3">
        <f>SUMIFS('2025-2026 Tracker'!$K$2:$K$5000,'2025-2026 Tracker'!$A$2:$A$5000,"&gt;="&amp;V3,'2025-2026 Tracker'!$A$2:$A$5000,"&lt;="&amp;EOMONTH(V3,0),'2025-2026 Tracker'!$B$2:$B$5000,"Expense",'2025-2026 Tracker'!$C$2:$C$5000,"Travel &amp; meetings")</f>
        <v>0</v>
      </c>
      <c r="W25" s="3">
        <f>SUMIFS('2025-2026 Tracker'!$K$2:$K$5000,'2025-2026 Tracker'!$A$2:$A$5000,"&gt;="&amp;W3,'2025-2026 Tracker'!$A$2:$A$5000,"&lt;="&amp;EOMONTH(W3,0),'2025-2026 Tracker'!$B$2:$B$5000,"Expense",'2025-2026 Tracker'!$C$2:$C$5000,"Travel &amp; meetings")</f>
        <v>0</v>
      </c>
      <c r="X25" s="3">
        <f>SUMIFS('2025-2026 Tracker'!$K$2:$K$5000,'2025-2026 Tracker'!$A$2:$A$5000,"&gt;="&amp;X3,'2025-2026 Tracker'!$A$2:$A$5000,"&lt;="&amp;EOMONTH(X3,0),'2025-2026 Tracker'!$B$2:$B$5000,"Expense",'2025-2026 Tracker'!$C$2:$C$5000,"Travel &amp; meetings")</f>
        <v>0</v>
      </c>
      <c r="Y25" s="3">
        <f>SUMIFS('2025-2026 Tracker'!$K$2:$K$5000,'2025-2026 Tracker'!$A$2:$A$5000,"&gt;="&amp;Y3,'2025-2026 Tracker'!$A$2:$A$5000,"&lt;="&amp;EOMONTH(Y3,0),'2025-2026 Tracker'!$B$2:$B$5000,"Expense",'2025-2026 Tracker'!$C$2:$C$5000,"Travel &amp; meetings")</f>
        <v>0</v>
      </c>
      <c r="Z25" s="3">
        <f>SUMIFS('2025-2026 Tracker'!$K$2:$K$5000,'2025-2026 Tracker'!$A$2:$A$5000,"&gt;="&amp;Z3,'2025-2026 Tracker'!$A$2:$A$5000,"&lt;="&amp;EOMONTH(Z3,0),'2025-2026 Tracker'!$B$2:$B$5000,"Expense",'2025-2026 Tracker'!$C$2:$C$5000,"Travel &amp; meetings")</f>
        <v>0</v>
      </c>
      <c r="AA25" s="16">
        <f t="shared" si="7"/>
        <v>0</v>
      </c>
    </row>
    <row r="26" ht="15.75" customHeight="1">
      <c r="A26" s="14" t="s">
        <v>93</v>
      </c>
      <c r="B26" s="8"/>
      <c r="C26" s="15">
        <f>SUMIFS('2025-2026 Tracker'!$K$2:$K$5000,'2025-2026 Tracker'!$A$2:$A$5000,"&gt;="&amp;C3,'2025-2026 Tracker'!$A$2:$A$5000,"&lt;="&amp;EOMONTH(C3,0),'2025-2026 Tracker'!$B$2:$B$5000,"Expense",'2025-2026 Tracker'!$C$2:$C$5000,"Office supplies &amp; equipment")</f>
        <v>0</v>
      </c>
      <c r="D26" s="15">
        <f>SUMIFS('2025-2026 Tracker'!$K$2:$K$5000,'2025-2026 Tracker'!$A$2:$A$5000,"&gt;="&amp;D3,'2025-2026 Tracker'!$A$2:$A$5000,"&lt;="&amp;EOMONTH(D3,0),'2025-2026 Tracker'!$B$2:$B$5000,"Expense",'2025-2026 Tracker'!$C$2:$C$5000,"Office supplies &amp; equipment")</f>
        <v>0</v>
      </c>
      <c r="E26" s="15">
        <f>SUMIFS('2025-2026 Tracker'!$K$2:$K$5000,'2025-2026 Tracker'!$A$2:$A$5000,"&gt;="&amp;E3,'2025-2026 Tracker'!$A$2:$A$5000,"&lt;="&amp;EOMONTH(E3,0),'2025-2026 Tracker'!$B$2:$B$5000,"Expense",'2025-2026 Tracker'!$C$2:$C$5000,"Office supplies &amp; equipment")</f>
        <v>0</v>
      </c>
      <c r="F26" s="15">
        <f>SUMIFS('2025-2026 Tracker'!$K$2:$K$5000,'2025-2026 Tracker'!$A$2:$A$5000,"&gt;="&amp;F3,'2025-2026 Tracker'!$A$2:$A$5000,"&lt;="&amp;EOMONTH(F3,0),'2025-2026 Tracker'!$B$2:$B$5000,"Expense",'2025-2026 Tracker'!$C$2:$C$5000,"Office supplies &amp; equipment")</f>
        <v>0</v>
      </c>
      <c r="G26" s="15">
        <f>SUMIFS('2025-2026 Tracker'!$K$2:$K$5000,'2025-2026 Tracker'!$A$2:$A$5000,"&gt;="&amp;G3,'2025-2026 Tracker'!$A$2:$A$5000,"&lt;="&amp;EOMONTH(G3,0),'2025-2026 Tracker'!$B$2:$B$5000,"Expense",'2025-2026 Tracker'!$C$2:$C$5000,"Office supplies &amp; equipment")</f>
        <v>0</v>
      </c>
      <c r="H26" s="15">
        <f>SUMIFS('2025-2026 Tracker'!$K$2:$K$5000,'2025-2026 Tracker'!$A$2:$A$5000,"&gt;="&amp;H3,'2025-2026 Tracker'!$A$2:$A$5000,"&lt;="&amp;EOMONTH(H3,0),'2025-2026 Tracker'!$B$2:$B$5000,"Expense",'2025-2026 Tracker'!$C$2:$C$5000,"Office supplies &amp; equipment")</f>
        <v>0</v>
      </c>
      <c r="I26" s="15">
        <f>SUMIFS('2025-2026 Tracker'!$K$2:$K$5000,'2025-2026 Tracker'!$A$2:$A$5000,"&gt;="&amp;I3,'2025-2026 Tracker'!$A$2:$A$5000,"&lt;="&amp;EOMONTH(I3,0),'2025-2026 Tracker'!$B$2:$B$5000,"Expense",'2025-2026 Tracker'!$C$2:$C$5000,"Office supplies &amp; equipment")</f>
        <v>0</v>
      </c>
      <c r="J26" s="15">
        <f>SUMIFS('2025-2026 Tracker'!$K$2:$K$5000,'2025-2026 Tracker'!$A$2:$A$5000,"&gt;="&amp;J3,'2025-2026 Tracker'!$A$2:$A$5000,"&lt;="&amp;EOMONTH(J3,0),'2025-2026 Tracker'!$B$2:$B$5000,"Expense",'2025-2026 Tracker'!$C$2:$C$5000,"Office supplies &amp; equipment")</f>
        <v>0</v>
      </c>
      <c r="K26" s="15">
        <f>SUMIFS('2025-2026 Tracker'!$K$2:$K$5000,'2025-2026 Tracker'!$A$2:$A$5000,"&gt;="&amp;K3,'2025-2026 Tracker'!$A$2:$A$5000,"&lt;="&amp;EOMONTH(K3,0),'2025-2026 Tracker'!$B$2:$B$5000,"Expense",'2025-2026 Tracker'!$C$2:$C$5000,"Office supplies &amp; equipment")</f>
        <v>0</v>
      </c>
      <c r="L26" s="15">
        <f>SUMIFS('2025-2026 Tracker'!$K$2:$K$5000,'2025-2026 Tracker'!$A$2:$A$5000,"&gt;="&amp;L3,'2025-2026 Tracker'!$A$2:$A$5000,"&lt;="&amp;EOMONTH(L3,0),'2025-2026 Tracker'!$B$2:$B$5000,"Expense",'2025-2026 Tracker'!$C$2:$C$5000,"Office supplies &amp; equipment")</f>
        <v>0</v>
      </c>
      <c r="M26" s="15">
        <f>SUMIFS('2025-2026 Tracker'!$K$2:$K$5000,'2025-2026 Tracker'!$A$2:$A$5000,"&gt;="&amp;M3,'2025-2026 Tracker'!$A$2:$A$5000,"&lt;="&amp;EOMONTH(M3,0),'2025-2026 Tracker'!$B$2:$B$5000,"Expense",'2025-2026 Tracker'!$C$2:$C$5000,"Office supplies &amp; equipment")</f>
        <v>0</v>
      </c>
      <c r="N26" s="15">
        <f>SUMIFS('2025-2026 Tracker'!$K$2:$K$5000,'2025-2026 Tracker'!$A$2:$A$5000,"&gt;="&amp;N3,'2025-2026 Tracker'!$A$2:$A$5000,"&lt;="&amp;EOMONTH(N3,0),'2025-2026 Tracker'!$B$2:$B$5000,"Expense",'2025-2026 Tracker'!$C$2:$C$5000,"Office supplies &amp; equipment")</f>
        <v>0</v>
      </c>
      <c r="O26" s="3">
        <f>SUMIFS('2025-2026 Tracker'!$K$2:$K$5000,'2025-2026 Tracker'!$A$2:$A$5000,"&gt;="&amp;O3,'2025-2026 Tracker'!$A$2:$A$5000,"&lt;="&amp;EOMONTH(O3,0),'2025-2026 Tracker'!$B$2:$B$5000,"Expense",'2025-2026 Tracker'!$C$2:$C$5000,"Office supplies &amp; equipment")</f>
        <v>0</v>
      </c>
      <c r="P26" s="3">
        <f>SUMIFS('2025-2026 Tracker'!$K$2:$K$5000,'2025-2026 Tracker'!$A$2:$A$5000,"&gt;="&amp;P3,'2025-2026 Tracker'!$A$2:$A$5000,"&lt;="&amp;EOMONTH(P3,0),'2025-2026 Tracker'!$B$2:$B$5000,"Expense",'2025-2026 Tracker'!$C$2:$C$5000,"Office supplies &amp; equipment")</f>
        <v>0</v>
      </c>
      <c r="Q26" s="3">
        <f>SUMIFS('2025-2026 Tracker'!$K$2:$K$5000,'2025-2026 Tracker'!$A$2:$A$5000,"&gt;="&amp;Q3,'2025-2026 Tracker'!$A$2:$A$5000,"&lt;="&amp;EOMONTH(Q3,0),'2025-2026 Tracker'!$B$2:$B$5000,"Expense",'2025-2026 Tracker'!$C$2:$C$5000,"Office supplies &amp; equipment")</f>
        <v>0</v>
      </c>
      <c r="R26" s="3">
        <f>SUMIFS('2025-2026 Tracker'!$K$2:$K$5000,'2025-2026 Tracker'!$A$2:$A$5000,"&gt;="&amp;R3,'2025-2026 Tracker'!$A$2:$A$5000,"&lt;="&amp;EOMONTH(R3,0),'2025-2026 Tracker'!$B$2:$B$5000,"Expense",'2025-2026 Tracker'!$C$2:$C$5000,"Office supplies &amp; equipment")</f>
        <v>0</v>
      </c>
      <c r="S26" s="3">
        <f>SUMIFS('2025-2026 Tracker'!$K$2:$K$5000,'2025-2026 Tracker'!$A$2:$A$5000,"&gt;="&amp;S3,'2025-2026 Tracker'!$A$2:$A$5000,"&lt;="&amp;EOMONTH(S3,0),'2025-2026 Tracker'!$B$2:$B$5000,"Expense",'2025-2026 Tracker'!$C$2:$C$5000,"Office supplies &amp; equipment")</f>
        <v>0</v>
      </c>
      <c r="T26" s="3">
        <f>SUMIFS('2025-2026 Tracker'!$K$2:$K$5000,'2025-2026 Tracker'!$A$2:$A$5000,"&gt;="&amp;T3,'2025-2026 Tracker'!$A$2:$A$5000,"&lt;="&amp;EOMONTH(T3,0),'2025-2026 Tracker'!$B$2:$B$5000,"Expense",'2025-2026 Tracker'!$C$2:$C$5000,"Office supplies &amp; equipment")</f>
        <v>0</v>
      </c>
      <c r="U26" s="3">
        <f>SUMIFS('2025-2026 Tracker'!$K$2:$K$5000,'2025-2026 Tracker'!$A$2:$A$5000,"&gt;="&amp;U3,'2025-2026 Tracker'!$A$2:$A$5000,"&lt;="&amp;EOMONTH(U3,0),'2025-2026 Tracker'!$B$2:$B$5000,"Expense",'2025-2026 Tracker'!$C$2:$C$5000,"Office supplies &amp; equipment")</f>
        <v>0</v>
      </c>
      <c r="V26" s="3">
        <f>SUMIFS('2025-2026 Tracker'!$K$2:$K$5000,'2025-2026 Tracker'!$A$2:$A$5000,"&gt;="&amp;V3,'2025-2026 Tracker'!$A$2:$A$5000,"&lt;="&amp;EOMONTH(V3,0),'2025-2026 Tracker'!$B$2:$B$5000,"Expense",'2025-2026 Tracker'!$C$2:$C$5000,"Office supplies &amp; equipment")</f>
        <v>0</v>
      </c>
      <c r="W26" s="3">
        <f>SUMIFS('2025-2026 Tracker'!$K$2:$K$5000,'2025-2026 Tracker'!$A$2:$A$5000,"&gt;="&amp;W3,'2025-2026 Tracker'!$A$2:$A$5000,"&lt;="&amp;EOMONTH(W3,0),'2025-2026 Tracker'!$B$2:$B$5000,"Expense",'2025-2026 Tracker'!$C$2:$C$5000,"Office supplies &amp; equipment")</f>
        <v>0</v>
      </c>
      <c r="X26" s="3">
        <f>SUMIFS('2025-2026 Tracker'!$K$2:$K$5000,'2025-2026 Tracker'!$A$2:$A$5000,"&gt;="&amp;X3,'2025-2026 Tracker'!$A$2:$A$5000,"&lt;="&amp;EOMONTH(X3,0),'2025-2026 Tracker'!$B$2:$B$5000,"Expense",'2025-2026 Tracker'!$C$2:$C$5000,"Office supplies &amp; equipment")</f>
        <v>0</v>
      </c>
      <c r="Y26" s="3">
        <f>SUMIFS('2025-2026 Tracker'!$K$2:$K$5000,'2025-2026 Tracker'!$A$2:$A$5000,"&gt;="&amp;Y3,'2025-2026 Tracker'!$A$2:$A$5000,"&lt;="&amp;EOMONTH(Y3,0),'2025-2026 Tracker'!$B$2:$B$5000,"Expense",'2025-2026 Tracker'!$C$2:$C$5000,"Office supplies &amp; equipment")</f>
        <v>0</v>
      </c>
      <c r="Z26" s="3">
        <f>SUMIFS('2025-2026 Tracker'!$K$2:$K$5000,'2025-2026 Tracker'!$A$2:$A$5000,"&gt;="&amp;Z3,'2025-2026 Tracker'!$A$2:$A$5000,"&lt;="&amp;EOMONTH(Z3,0),'2025-2026 Tracker'!$B$2:$B$5000,"Expense",'2025-2026 Tracker'!$C$2:$C$5000,"Office supplies &amp; equipment")</f>
        <v>0</v>
      </c>
      <c r="AA26" s="16">
        <f t="shared" si="7"/>
        <v>0</v>
      </c>
    </row>
    <row r="27" ht="15.75" customHeight="1">
      <c r="A27" s="14" t="s">
        <v>94</v>
      </c>
      <c r="B27" s="8"/>
      <c r="C27" s="15">
        <f>SUMIFS('2025-2026 Tracker'!$K$2:$K$5000,'2025-2026 Tracker'!$A$2:$A$5000,"&gt;="&amp;C3,'2025-2026 Tracker'!$A$2:$A$5000,"&lt;="&amp;EOMONTH(C3,0),'2025-2026 Tracker'!$B$2:$B$5000,"Expense",'2025-2026 Tracker'!$C$2:$C$5000,"Other operational costs")</f>
        <v>0</v>
      </c>
      <c r="D27" s="15">
        <f>SUMIFS('2025-2026 Tracker'!$K$2:$K$5000,'2025-2026 Tracker'!$A$2:$A$5000,"&gt;="&amp;D3,'2025-2026 Tracker'!$A$2:$A$5000,"&lt;="&amp;EOMONTH(D3,0),'2025-2026 Tracker'!$B$2:$B$5000,"Expense",'2025-2026 Tracker'!$C$2:$C$5000,"Other operational costs")</f>
        <v>0</v>
      </c>
      <c r="E27" s="15">
        <f>SUMIFS('2025-2026 Tracker'!$K$2:$K$5000,'2025-2026 Tracker'!$A$2:$A$5000,"&gt;="&amp;E3,'2025-2026 Tracker'!$A$2:$A$5000,"&lt;="&amp;EOMONTH(E3,0),'2025-2026 Tracker'!$B$2:$B$5000,"Expense",'2025-2026 Tracker'!$C$2:$C$5000,"Other operational costs")</f>
        <v>0</v>
      </c>
      <c r="F27" s="15">
        <f>SUMIFS('2025-2026 Tracker'!$K$2:$K$5000,'2025-2026 Tracker'!$A$2:$A$5000,"&gt;="&amp;F3,'2025-2026 Tracker'!$A$2:$A$5000,"&lt;="&amp;EOMONTH(F3,0),'2025-2026 Tracker'!$B$2:$B$5000,"Expense",'2025-2026 Tracker'!$C$2:$C$5000,"Other operational costs")</f>
        <v>0</v>
      </c>
      <c r="G27" s="15">
        <f>SUMIFS('2025-2026 Tracker'!$K$2:$K$5000,'2025-2026 Tracker'!$A$2:$A$5000,"&gt;="&amp;G3,'2025-2026 Tracker'!$A$2:$A$5000,"&lt;="&amp;EOMONTH(G3,0),'2025-2026 Tracker'!$B$2:$B$5000,"Expense",'2025-2026 Tracker'!$C$2:$C$5000,"Other operational costs")</f>
        <v>0</v>
      </c>
      <c r="H27" s="15">
        <f>SUMIFS('2025-2026 Tracker'!$K$2:$K$5000,'2025-2026 Tracker'!$A$2:$A$5000,"&gt;="&amp;H3,'2025-2026 Tracker'!$A$2:$A$5000,"&lt;="&amp;EOMONTH(H3,0),'2025-2026 Tracker'!$B$2:$B$5000,"Expense",'2025-2026 Tracker'!$C$2:$C$5000,"Other operational costs")</f>
        <v>0</v>
      </c>
      <c r="I27" s="15">
        <f>SUMIFS('2025-2026 Tracker'!$K$2:$K$5000,'2025-2026 Tracker'!$A$2:$A$5000,"&gt;="&amp;I3,'2025-2026 Tracker'!$A$2:$A$5000,"&lt;="&amp;EOMONTH(I3,0),'2025-2026 Tracker'!$B$2:$B$5000,"Expense",'2025-2026 Tracker'!$C$2:$C$5000,"Other operational costs")</f>
        <v>0</v>
      </c>
      <c r="J27" s="15">
        <f>SUMIFS('2025-2026 Tracker'!$K$2:$K$5000,'2025-2026 Tracker'!$A$2:$A$5000,"&gt;="&amp;J3,'2025-2026 Tracker'!$A$2:$A$5000,"&lt;="&amp;EOMONTH(J3,0),'2025-2026 Tracker'!$B$2:$B$5000,"Expense",'2025-2026 Tracker'!$C$2:$C$5000,"Other operational costs")</f>
        <v>0</v>
      </c>
      <c r="K27" s="15">
        <f>SUMIFS('2025-2026 Tracker'!$K$2:$K$5000,'2025-2026 Tracker'!$A$2:$A$5000,"&gt;="&amp;K3,'2025-2026 Tracker'!$A$2:$A$5000,"&lt;="&amp;EOMONTH(K3,0),'2025-2026 Tracker'!$B$2:$B$5000,"Expense",'2025-2026 Tracker'!$C$2:$C$5000,"Other operational costs")</f>
        <v>0</v>
      </c>
      <c r="L27" s="15">
        <f>SUMIFS('2025-2026 Tracker'!$K$2:$K$5000,'2025-2026 Tracker'!$A$2:$A$5000,"&gt;="&amp;L3,'2025-2026 Tracker'!$A$2:$A$5000,"&lt;="&amp;EOMONTH(L3,0),'2025-2026 Tracker'!$B$2:$B$5000,"Expense",'2025-2026 Tracker'!$C$2:$C$5000,"Other operational costs")</f>
        <v>0</v>
      </c>
      <c r="M27" s="15">
        <f>SUMIFS('2025-2026 Tracker'!$K$2:$K$5000,'2025-2026 Tracker'!$A$2:$A$5000,"&gt;="&amp;M3,'2025-2026 Tracker'!$A$2:$A$5000,"&lt;="&amp;EOMONTH(M3,0),'2025-2026 Tracker'!$B$2:$B$5000,"Expense",'2025-2026 Tracker'!$C$2:$C$5000,"Other operational costs")</f>
        <v>0</v>
      </c>
      <c r="N27" s="15">
        <f>SUMIFS('2025-2026 Tracker'!$K$2:$K$5000,'2025-2026 Tracker'!$A$2:$A$5000,"&gt;="&amp;N3,'2025-2026 Tracker'!$A$2:$A$5000,"&lt;="&amp;EOMONTH(N3,0),'2025-2026 Tracker'!$B$2:$B$5000,"Expense",'2025-2026 Tracker'!$C$2:$C$5000,"Other operational costs")</f>
        <v>0</v>
      </c>
      <c r="O27" s="3">
        <f>SUMIFS('2025-2026 Tracker'!$K$2:$K$5000,'2025-2026 Tracker'!$A$2:$A$5000,"&gt;="&amp;O3,'2025-2026 Tracker'!$A$2:$A$5000,"&lt;="&amp;EOMONTH(O3,0),'2025-2026 Tracker'!$B$2:$B$5000,"Expense",'2025-2026 Tracker'!$C$2:$C$5000,"Other operational costs")</f>
        <v>0</v>
      </c>
      <c r="P27" s="3">
        <f>SUMIFS('2025-2026 Tracker'!$K$2:$K$5000,'2025-2026 Tracker'!$A$2:$A$5000,"&gt;="&amp;P3,'2025-2026 Tracker'!$A$2:$A$5000,"&lt;="&amp;EOMONTH(P3,0),'2025-2026 Tracker'!$B$2:$B$5000,"Expense",'2025-2026 Tracker'!$C$2:$C$5000,"Other operational costs")</f>
        <v>0</v>
      </c>
      <c r="Q27" s="3">
        <f>SUMIFS('2025-2026 Tracker'!$K$2:$K$5000,'2025-2026 Tracker'!$A$2:$A$5000,"&gt;="&amp;Q3,'2025-2026 Tracker'!$A$2:$A$5000,"&lt;="&amp;EOMONTH(Q3,0),'2025-2026 Tracker'!$B$2:$B$5000,"Expense",'2025-2026 Tracker'!$C$2:$C$5000,"Other operational costs")</f>
        <v>0</v>
      </c>
      <c r="R27" s="3">
        <f>SUMIFS('2025-2026 Tracker'!$K$2:$K$5000,'2025-2026 Tracker'!$A$2:$A$5000,"&gt;="&amp;R3,'2025-2026 Tracker'!$A$2:$A$5000,"&lt;="&amp;EOMONTH(R3,0),'2025-2026 Tracker'!$B$2:$B$5000,"Expense",'2025-2026 Tracker'!$C$2:$C$5000,"Other operational costs")</f>
        <v>0</v>
      </c>
      <c r="S27" s="3">
        <f>SUMIFS('2025-2026 Tracker'!$K$2:$K$5000,'2025-2026 Tracker'!$A$2:$A$5000,"&gt;="&amp;S3,'2025-2026 Tracker'!$A$2:$A$5000,"&lt;="&amp;EOMONTH(S3,0),'2025-2026 Tracker'!$B$2:$B$5000,"Expense",'2025-2026 Tracker'!$C$2:$C$5000,"Other operational costs")</f>
        <v>0</v>
      </c>
      <c r="T27" s="3">
        <f>SUMIFS('2025-2026 Tracker'!$K$2:$K$5000,'2025-2026 Tracker'!$A$2:$A$5000,"&gt;="&amp;T3,'2025-2026 Tracker'!$A$2:$A$5000,"&lt;="&amp;EOMONTH(T3,0),'2025-2026 Tracker'!$B$2:$B$5000,"Expense",'2025-2026 Tracker'!$C$2:$C$5000,"Other operational costs")</f>
        <v>0</v>
      </c>
      <c r="U27" s="3">
        <f>SUMIFS('2025-2026 Tracker'!$K$2:$K$5000,'2025-2026 Tracker'!$A$2:$A$5000,"&gt;="&amp;U3,'2025-2026 Tracker'!$A$2:$A$5000,"&lt;="&amp;EOMONTH(U3,0),'2025-2026 Tracker'!$B$2:$B$5000,"Expense",'2025-2026 Tracker'!$C$2:$C$5000,"Other operational costs")</f>
        <v>0</v>
      </c>
      <c r="V27" s="3">
        <f>SUMIFS('2025-2026 Tracker'!$K$2:$K$5000,'2025-2026 Tracker'!$A$2:$A$5000,"&gt;="&amp;V3,'2025-2026 Tracker'!$A$2:$A$5000,"&lt;="&amp;EOMONTH(V3,0),'2025-2026 Tracker'!$B$2:$B$5000,"Expense",'2025-2026 Tracker'!$C$2:$C$5000,"Other operational costs")</f>
        <v>0</v>
      </c>
      <c r="W27" s="3">
        <f>SUMIFS('2025-2026 Tracker'!$K$2:$K$5000,'2025-2026 Tracker'!$A$2:$A$5000,"&gt;="&amp;W3,'2025-2026 Tracker'!$A$2:$A$5000,"&lt;="&amp;EOMONTH(W3,0),'2025-2026 Tracker'!$B$2:$B$5000,"Expense",'2025-2026 Tracker'!$C$2:$C$5000,"Other operational costs")</f>
        <v>0</v>
      </c>
      <c r="X27" s="3">
        <f>SUMIFS('2025-2026 Tracker'!$K$2:$K$5000,'2025-2026 Tracker'!$A$2:$A$5000,"&gt;="&amp;X3,'2025-2026 Tracker'!$A$2:$A$5000,"&lt;="&amp;EOMONTH(X3,0),'2025-2026 Tracker'!$B$2:$B$5000,"Expense",'2025-2026 Tracker'!$C$2:$C$5000,"Other operational costs")</f>
        <v>0</v>
      </c>
      <c r="Y27" s="3">
        <f>SUMIFS('2025-2026 Tracker'!$K$2:$K$5000,'2025-2026 Tracker'!$A$2:$A$5000,"&gt;="&amp;Y3,'2025-2026 Tracker'!$A$2:$A$5000,"&lt;="&amp;EOMONTH(Y3,0),'2025-2026 Tracker'!$B$2:$B$5000,"Expense",'2025-2026 Tracker'!$C$2:$C$5000,"Other operational costs")</f>
        <v>0</v>
      </c>
      <c r="Z27" s="3">
        <f>SUMIFS('2025-2026 Tracker'!$K$2:$K$5000,'2025-2026 Tracker'!$A$2:$A$5000,"&gt;="&amp;Z3,'2025-2026 Tracker'!$A$2:$A$5000,"&lt;="&amp;EOMONTH(Z3,0),'2025-2026 Tracker'!$B$2:$B$5000,"Expense",'2025-2026 Tracker'!$C$2:$C$5000,"Other operational costs")</f>
        <v>0</v>
      </c>
      <c r="AA27" s="16">
        <f t="shared" si="7"/>
        <v>0</v>
      </c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AA28" s="8"/>
    </row>
    <row r="29" ht="15.75" customHeight="1">
      <c r="A29" s="11" t="s">
        <v>95</v>
      </c>
      <c r="B29" s="12"/>
      <c r="C29" s="13">
        <f t="shared" ref="C29:N29" si="8">C4-C11</f>
        <v>-13.92</v>
      </c>
      <c r="D29" s="13">
        <f t="shared" si="8"/>
        <v>-59.6</v>
      </c>
      <c r="E29" s="13">
        <f t="shared" si="8"/>
        <v>-13.92</v>
      </c>
      <c r="F29" s="13">
        <f t="shared" si="8"/>
        <v>-13.92</v>
      </c>
      <c r="G29" s="13">
        <f t="shared" si="8"/>
        <v>-13.92</v>
      </c>
      <c r="H29" s="13">
        <f t="shared" si="8"/>
        <v>-13.92</v>
      </c>
      <c r="I29" s="13">
        <f t="shared" si="8"/>
        <v>-13.92</v>
      </c>
      <c r="J29" s="13">
        <f t="shared" si="8"/>
        <v>-13.92</v>
      </c>
      <c r="K29" s="13">
        <f t="shared" si="8"/>
        <v>-13.92</v>
      </c>
      <c r="L29" s="13">
        <f t="shared" si="8"/>
        <v>-13.92</v>
      </c>
      <c r="M29" s="13">
        <f t="shared" si="8"/>
        <v>-13.92</v>
      </c>
      <c r="N29" s="13">
        <f t="shared" si="8"/>
        <v>-13.92</v>
      </c>
      <c r="AA29" s="13">
        <f>SUM(C29:Z29)</f>
        <v>-212.72</v>
      </c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AA30" s="8"/>
    </row>
    <row r="31" ht="15.75" customHeight="1">
      <c r="A31" s="11" t="s">
        <v>96</v>
      </c>
      <c r="B31" s="12"/>
      <c r="C31" s="13"/>
      <c r="D31" s="13">
        <f t="shared" ref="D31:N31" si="9">C33</f>
        <v>-13.92</v>
      </c>
      <c r="E31" s="13">
        <f t="shared" si="9"/>
        <v>-73.52</v>
      </c>
      <c r="F31" s="13">
        <f t="shared" si="9"/>
        <v>-87.44</v>
      </c>
      <c r="G31" s="13">
        <f t="shared" si="9"/>
        <v>-101.36</v>
      </c>
      <c r="H31" s="13">
        <f t="shared" si="9"/>
        <v>-115.28</v>
      </c>
      <c r="I31" s="13">
        <f t="shared" si="9"/>
        <v>-129.2</v>
      </c>
      <c r="J31" s="13">
        <f t="shared" si="9"/>
        <v>-143.12</v>
      </c>
      <c r="K31" s="13">
        <f t="shared" si="9"/>
        <v>-157.04</v>
      </c>
      <c r="L31" s="13">
        <f t="shared" si="9"/>
        <v>-170.96</v>
      </c>
      <c r="M31" s="13">
        <f t="shared" si="9"/>
        <v>-184.88</v>
      </c>
      <c r="N31" s="13">
        <f t="shared" si="9"/>
        <v>-198.8</v>
      </c>
      <c r="AA31" s="13">
        <f t="shared" ref="AA31:AA33" si="11">SUM(C31:Z31)</f>
        <v>-1375.52</v>
      </c>
    </row>
    <row r="32" ht="15.75" customHeight="1">
      <c r="A32" s="14" t="s">
        <v>95</v>
      </c>
      <c r="B32" s="8"/>
      <c r="C32" s="15">
        <f t="shared" ref="C32:N32" si="10">C29</f>
        <v>-13.92</v>
      </c>
      <c r="D32" s="15">
        <f t="shared" si="10"/>
        <v>-59.6</v>
      </c>
      <c r="E32" s="15">
        <f t="shared" si="10"/>
        <v>-13.92</v>
      </c>
      <c r="F32" s="15">
        <f t="shared" si="10"/>
        <v>-13.92</v>
      </c>
      <c r="G32" s="15">
        <f t="shared" si="10"/>
        <v>-13.92</v>
      </c>
      <c r="H32" s="15">
        <f t="shared" si="10"/>
        <v>-13.92</v>
      </c>
      <c r="I32" s="15">
        <f t="shared" si="10"/>
        <v>-13.92</v>
      </c>
      <c r="J32" s="15">
        <f t="shared" si="10"/>
        <v>-13.92</v>
      </c>
      <c r="K32" s="15">
        <f t="shared" si="10"/>
        <v>-13.92</v>
      </c>
      <c r="L32" s="15">
        <f t="shared" si="10"/>
        <v>-13.92</v>
      </c>
      <c r="M32" s="15">
        <f t="shared" si="10"/>
        <v>-13.92</v>
      </c>
      <c r="N32" s="15">
        <f t="shared" si="10"/>
        <v>-13.92</v>
      </c>
      <c r="AA32" s="15">
        <f t="shared" si="11"/>
        <v>-212.72</v>
      </c>
    </row>
    <row r="33" ht="15.75" customHeight="1">
      <c r="A33" s="11" t="s">
        <v>97</v>
      </c>
      <c r="B33" s="12"/>
      <c r="C33" s="13">
        <f t="shared" ref="C33:N33" si="12">C31+C32</f>
        <v>-13.92</v>
      </c>
      <c r="D33" s="13">
        <f t="shared" si="12"/>
        <v>-73.52</v>
      </c>
      <c r="E33" s="13">
        <f t="shared" si="12"/>
        <v>-87.44</v>
      </c>
      <c r="F33" s="13">
        <f t="shared" si="12"/>
        <v>-101.36</v>
      </c>
      <c r="G33" s="13">
        <f t="shared" si="12"/>
        <v>-115.28</v>
      </c>
      <c r="H33" s="13">
        <f t="shared" si="12"/>
        <v>-129.2</v>
      </c>
      <c r="I33" s="13">
        <f t="shared" si="12"/>
        <v>-143.12</v>
      </c>
      <c r="J33" s="13">
        <f t="shared" si="12"/>
        <v>-157.04</v>
      </c>
      <c r="K33" s="13">
        <f t="shared" si="12"/>
        <v>-170.96</v>
      </c>
      <c r="L33" s="13">
        <f t="shared" si="12"/>
        <v>-184.88</v>
      </c>
      <c r="M33" s="13">
        <f t="shared" si="12"/>
        <v>-198.8</v>
      </c>
      <c r="N33" s="13">
        <f t="shared" si="12"/>
        <v>-212.72</v>
      </c>
      <c r="AA33" s="13">
        <f t="shared" si="11"/>
        <v>-1588.24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4" width="18.0"/>
    <col customWidth="1" min="5" max="5" width="26.0"/>
    <col customWidth="1" min="6" max="6" width="18.0"/>
    <col customWidth="1" min="7" max="7" width="34.0"/>
    <col customWidth="1" min="8" max="8" width="14.0"/>
    <col customWidth="1" min="9" max="9" width="10.0"/>
    <col customWidth="1" min="10" max="12" width="14.0"/>
    <col customWidth="1" min="13" max="13" width="12.0"/>
    <col customWidth="1" min="14" max="14" width="14.0"/>
    <col customWidth="1" min="15" max="16" width="18.0"/>
    <col customWidth="1" min="17" max="17" width="12.0"/>
    <col customWidth="1" min="18" max="18" width="28.0"/>
    <col customWidth="1" min="19" max="19" width="10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45164.0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4">
        <v>10.0</v>
      </c>
      <c r="I2" s="3" t="s">
        <v>25</v>
      </c>
      <c r="J2" s="4" t="str">
        <f>IFERROR(__xludf.DUMMYFUNCTION("IFERROR(INDEX(GOOGLEFINANCE(""CURRENCY:USDEUR"",A2),2,2),"""")"),"")</f>
        <v/>
      </c>
      <c r="K2" s="6">
        <f t="shared" ref="K2:K18" si="1">IFERROR(H2*J2,"")</f>
        <v>0</v>
      </c>
      <c r="L2" s="3" t="s">
        <v>26</v>
      </c>
      <c r="M2" s="3" t="s">
        <v>27</v>
      </c>
      <c r="N2" s="3" t="s">
        <v>28</v>
      </c>
      <c r="O2" s="3" t="s">
        <v>29</v>
      </c>
      <c r="R2" s="3" t="s">
        <v>30</v>
      </c>
      <c r="S2" s="3" t="s">
        <v>31</v>
      </c>
    </row>
    <row r="3">
      <c r="A3" s="2">
        <v>45195.0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>
        <v>10.0</v>
      </c>
      <c r="I3" s="3" t="s">
        <v>25</v>
      </c>
      <c r="J3" s="4" t="str">
        <f>IFERROR(__xludf.DUMMYFUNCTION("IFERROR(INDEX(GOOGLEFINANCE(""CURRENCY:USDEUR"",A3),2,2),"""")"),"")</f>
        <v/>
      </c>
      <c r="K3" s="6">
        <f t="shared" si="1"/>
        <v>0</v>
      </c>
      <c r="L3" s="3" t="s">
        <v>26</v>
      </c>
      <c r="M3" s="3" t="s">
        <v>27</v>
      </c>
      <c r="N3" s="3" t="s">
        <v>28</v>
      </c>
      <c r="O3" s="3" t="s">
        <v>29</v>
      </c>
      <c r="R3" s="3" t="s">
        <v>30</v>
      </c>
      <c r="S3" s="3" t="s">
        <v>31</v>
      </c>
    </row>
    <row r="4">
      <c r="A4" s="2">
        <v>45225.0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4">
        <v>10.0</v>
      </c>
      <c r="I4" s="3" t="s">
        <v>25</v>
      </c>
      <c r="J4" s="4" t="str">
        <f>IFERROR(__xludf.DUMMYFUNCTION("IFERROR(INDEX(GOOGLEFINANCE(""CURRENCY:USDEUR"",A4),2,2),"""")"),"")</f>
        <v/>
      </c>
      <c r="K4" s="6">
        <f t="shared" si="1"/>
        <v>0</v>
      </c>
      <c r="L4" s="3" t="s">
        <v>26</v>
      </c>
      <c r="M4" s="3" t="s">
        <v>27</v>
      </c>
      <c r="N4" s="3" t="s">
        <v>28</v>
      </c>
      <c r="O4" s="3" t="s">
        <v>29</v>
      </c>
      <c r="R4" s="3" t="s">
        <v>30</v>
      </c>
      <c r="S4" s="3" t="s">
        <v>31</v>
      </c>
    </row>
    <row r="5">
      <c r="A5" s="2">
        <v>45256.0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4">
        <v>10.0</v>
      </c>
      <c r="I5" s="3" t="s">
        <v>25</v>
      </c>
      <c r="J5" s="4" t="str">
        <f>IFERROR(__xludf.DUMMYFUNCTION("IFERROR(INDEX(GOOGLEFINANCE(""CURRENCY:USDEUR"",A5),2,2),"""")"),"")</f>
        <v/>
      </c>
      <c r="K5" s="6">
        <f t="shared" si="1"/>
        <v>0</v>
      </c>
      <c r="L5" s="3" t="s">
        <v>26</v>
      </c>
      <c r="M5" s="3" t="s">
        <v>27</v>
      </c>
      <c r="N5" s="3" t="s">
        <v>28</v>
      </c>
      <c r="O5" s="3" t="s">
        <v>29</v>
      </c>
      <c r="R5" s="3" t="s">
        <v>30</v>
      </c>
      <c r="S5" s="3" t="s">
        <v>31</v>
      </c>
    </row>
    <row r="6">
      <c r="A6" s="2">
        <v>45286.0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4">
        <v>10.0</v>
      </c>
      <c r="I6" s="3" t="s">
        <v>25</v>
      </c>
      <c r="J6" s="4" t="str">
        <f>IFERROR(__xludf.DUMMYFUNCTION("IFERROR(INDEX(GOOGLEFINANCE(""CURRENCY:USDEUR"",A6),2,2),"""")"),"")</f>
        <v/>
      </c>
      <c r="K6" s="6">
        <f t="shared" si="1"/>
        <v>0</v>
      </c>
      <c r="L6" s="3" t="s">
        <v>26</v>
      </c>
      <c r="M6" s="3" t="s">
        <v>27</v>
      </c>
      <c r="N6" s="3" t="s">
        <v>28</v>
      </c>
      <c r="O6" s="3" t="s">
        <v>29</v>
      </c>
      <c r="R6" s="3" t="s">
        <v>30</v>
      </c>
      <c r="S6" s="3" t="s">
        <v>31</v>
      </c>
    </row>
    <row r="7">
      <c r="A7" s="2">
        <v>45317.0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4">
        <v>10.0</v>
      </c>
      <c r="I7" s="3" t="s">
        <v>25</v>
      </c>
      <c r="J7" s="4" t="str">
        <f>IFERROR(__xludf.DUMMYFUNCTION("IFERROR(INDEX(GOOGLEFINANCE(""CURRENCY:USDEUR"",A7),2,2),"""")"),"")</f>
        <v/>
      </c>
      <c r="K7" s="6">
        <f t="shared" si="1"/>
        <v>0</v>
      </c>
      <c r="L7" s="3" t="s">
        <v>26</v>
      </c>
      <c r="M7" s="3" t="s">
        <v>27</v>
      </c>
      <c r="N7" s="3" t="s">
        <v>28</v>
      </c>
      <c r="O7" s="3" t="s">
        <v>29</v>
      </c>
      <c r="R7" s="3" t="s">
        <v>30</v>
      </c>
      <c r="S7" s="3" t="s">
        <v>31</v>
      </c>
    </row>
    <row r="8">
      <c r="A8" s="2">
        <v>45348.0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24</v>
      </c>
      <c r="H8" s="4">
        <v>10.0</v>
      </c>
      <c r="I8" s="3" t="s">
        <v>25</v>
      </c>
      <c r="J8" s="4" t="str">
        <f>IFERROR(__xludf.DUMMYFUNCTION("IFERROR(INDEX(GOOGLEFINANCE(""CURRENCY:USDEUR"",A8),2,2),"""")"),"")</f>
        <v/>
      </c>
      <c r="K8" s="6">
        <f t="shared" si="1"/>
        <v>0</v>
      </c>
      <c r="L8" s="3" t="s">
        <v>26</v>
      </c>
      <c r="M8" s="3" t="s">
        <v>27</v>
      </c>
      <c r="N8" s="3" t="s">
        <v>28</v>
      </c>
      <c r="O8" s="3" t="s">
        <v>29</v>
      </c>
      <c r="R8" s="3" t="s">
        <v>30</v>
      </c>
      <c r="S8" s="3" t="s">
        <v>31</v>
      </c>
    </row>
    <row r="9">
      <c r="A9" s="2">
        <v>45377.0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24</v>
      </c>
      <c r="H9" s="4">
        <v>10.0</v>
      </c>
      <c r="I9" s="3" t="s">
        <v>25</v>
      </c>
      <c r="J9" s="4" t="str">
        <f>IFERROR(__xludf.DUMMYFUNCTION("IFERROR(INDEX(GOOGLEFINANCE(""CURRENCY:USDEUR"",A9),2,2),"""")"),"")</f>
        <v/>
      </c>
      <c r="K9" s="6">
        <f t="shared" si="1"/>
        <v>0</v>
      </c>
      <c r="L9" s="3" t="s">
        <v>26</v>
      </c>
      <c r="M9" s="3" t="s">
        <v>27</v>
      </c>
      <c r="N9" s="3" t="s">
        <v>28</v>
      </c>
      <c r="O9" s="3" t="s">
        <v>29</v>
      </c>
      <c r="R9" s="3" t="s">
        <v>30</v>
      </c>
      <c r="S9" s="3" t="s">
        <v>31</v>
      </c>
    </row>
    <row r="10">
      <c r="A10" s="2">
        <v>45408.0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  <c r="H10" s="4">
        <v>10.0</v>
      </c>
      <c r="I10" s="3" t="s">
        <v>25</v>
      </c>
      <c r="J10" s="4" t="str">
        <f>IFERROR(__xludf.DUMMYFUNCTION("IFERROR(INDEX(GOOGLEFINANCE(""CURRENCY:USDEUR"",A10),2,2),"""")"),"")</f>
        <v/>
      </c>
      <c r="K10" s="6">
        <f t="shared" si="1"/>
        <v>0</v>
      </c>
      <c r="L10" s="3" t="s">
        <v>26</v>
      </c>
      <c r="M10" s="3" t="s">
        <v>27</v>
      </c>
      <c r="N10" s="3" t="s">
        <v>28</v>
      </c>
      <c r="O10" s="3" t="s">
        <v>29</v>
      </c>
      <c r="R10" s="3" t="s">
        <v>30</v>
      </c>
      <c r="S10" s="3" t="s">
        <v>31</v>
      </c>
    </row>
    <row r="11">
      <c r="A11" s="2">
        <v>45438.0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4">
        <v>10.0</v>
      </c>
      <c r="I11" s="3" t="s">
        <v>25</v>
      </c>
      <c r="J11" s="4" t="str">
        <f>IFERROR(__xludf.DUMMYFUNCTION("IFERROR(INDEX(GOOGLEFINANCE(""CURRENCY:USDEUR"",A11),2,2),"""")"),"")</f>
        <v/>
      </c>
      <c r="K11" s="6">
        <f t="shared" si="1"/>
        <v>0</v>
      </c>
      <c r="L11" s="3" t="s">
        <v>26</v>
      </c>
      <c r="M11" s="3" t="s">
        <v>27</v>
      </c>
      <c r="N11" s="3" t="s">
        <v>28</v>
      </c>
      <c r="O11" s="3" t="s">
        <v>29</v>
      </c>
      <c r="R11" s="3" t="s">
        <v>30</v>
      </c>
      <c r="S11" s="3" t="s">
        <v>31</v>
      </c>
    </row>
    <row r="12">
      <c r="A12" s="2">
        <v>45469.0</v>
      </c>
      <c r="B12" s="3" t="s">
        <v>19</v>
      </c>
      <c r="C12" s="3" t="s">
        <v>20</v>
      </c>
      <c r="D12" s="3" t="s">
        <v>21</v>
      </c>
      <c r="E12" s="3" t="s">
        <v>22</v>
      </c>
      <c r="F12" s="3" t="s">
        <v>23</v>
      </c>
      <c r="G12" s="3" t="s">
        <v>24</v>
      </c>
      <c r="H12" s="4">
        <v>10.0</v>
      </c>
      <c r="I12" s="3" t="s">
        <v>25</v>
      </c>
      <c r="J12" s="4" t="str">
        <f>IFERROR(__xludf.DUMMYFUNCTION("IFERROR(INDEX(GOOGLEFINANCE(""CURRENCY:USDEUR"",A12),2,2),"""")"),"")</f>
        <v/>
      </c>
      <c r="K12" s="6">
        <f t="shared" si="1"/>
        <v>0</v>
      </c>
      <c r="L12" s="3" t="s">
        <v>26</v>
      </c>
      <c r="M12" s="3" t="s">
        <v>27</v>
      </c>
      <c r="N12" s="3" t="s">
        <v>28</v>
      </c>
      <c r="O12" s="3" t="s">
        <v>29</v>
      </c>
      <c r="R12" s="3" t="s">
        <v>30</v>
      </c>
      <c r="S12" s="3" t="s">
        <v>31</v>
      </c>
    </row>
    <row r="13">
      <c r="A13" s="2">
        <v>45499.0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23</v>
      </c>
      <c r="G13" s="3" t="s">
        <v>24</v>
      </c>
      <c r="H13" s="4">
        <v>10.0</v>
      </c>
      <c r="I13" s="3" t="s">
        <v>25</v>
      </c>
      <c r="J13" s="4" t="str">
        <f>IFERROR(__xludf.DUMMYFUNCTION("IFERROR(INDEX(GOOGLEFINANCE(""CURRENCY:USDEUR"",A13),2,2),"""")"),"")</f>
        <v/>
      </c>
      <c r="K13" s="6">
        <f t="shared" si="1"/>
        <v>0</v>
      </c>
      <c r="L13" s="3" t="s">
        <v>26</v>
      </c>
      <c r="M13" s="3" t="s">
        <v>27</v>
      </c>
      <c r="N13" s="3" t="s">
        <v>28</v>
      </c>
      <c r="O13" s="3" t="s">
        <v>29</v>
      </c>
      <c r="R13" s="3" t="s">
        <v>30</v>
      </c>
      <c r="S13" s="3" t="s">
        <v>31</v>
      </c>
    </row>
    <row r="14">
      <c r="A14" s="2">
        <v>45530.0</v>
      </c>
      <c r="B14" s="3" t="s">
        <v>19</v>
      </c>
      <c r="C14" s="3" t="s">
        <v>20</v>
      </c>
      <c r="D14" s="3" t="s">
        <v>21</v>
      </c>
      <c r="E14" s="3" t="s">
        <v>22</v>
      </c>
      <c r="F14" s="3" t="s">
        <v>23</v>
      </c>
      <c r="G14" s="3" t="s">
        <v>24</v>
      </c>
      <c r="H14" s="4">
        <v>10.0</v>
      </c>
      <c r="I14" s="3" t="s">
        <v>25</v>
      </c>
      <c r="J14" s="4" t="str">
        <f>IFERROR(__xludf.DUMMYFUNCTION("IFERROR(INDEX(GOOGLEFINANCE(""CURRENCY:USDEUR"",A14),2,2),"""")"),"")</f>
        <v/>
      </c>
      <c r="K14" s="6">
        <f t="shared" si="1"/>
        <v>0</v>
      </c>
      <c r="L14" s="3" t="s">
        <v>26</v>
      </c>
      <c r="M14" s="3" t="s">
        <v>27</v>
      </c>
      <c r="N14" s="3" t="s">
        <v>28</v>
      </c>
      <c r="O14" s="3" t="s">
        <v>29</v>
      </c>
      <c r="R14" s="3" t="s">
        <v>30</v>
      </c>
      <c r="S14" s="3" t="s">
        <v>31</v>
      </c>
    </row>
    <row r="15">
      <c r="A15" s="2">
        <v>45561.0</v>
      </c>
      <c r="B15" s="3" t="s">
        <v>19</v>
      </c>
      <c r="C15" s="3" t="s">
        <v>20</v>
      </c>
      <c r="D15" s="3" t="s">
        <v>21</v>
      </c>
      <c r="E15" s="3" t="s">
        <v>22</v>
      </c>
      <c r="F15" s="3" t="s">
        <v>23</v>
      </c>
      <c r="G15" s="3" t="s">
        <v>24</v>
      </c>
      <c r="H15" s="4">
        <v>10.0</v>
      </c>
      <c r="I15" s="3" t="s">
        <v>25</v>
      </c>
      <c r="J15" s="4" t="str">
        <f>IFERROR(__xludf.DUMMYFUNCTION("IFERROR(INDEX(GOOGLEFINANCE(""CURRENCY:USDEUR"",A15),2,2),"""")"),"")</f>
        <v/>
      </c>
      <c r="K15" s="6">
        <f t="shared" si="1"/>
        <v>0</v>
      </c>
      <c r="L15" s="3" t="s">
        <v>26</v>
      </c>
      <c r="M15" s="3" t="s">
        <v>27</v>
      </c>
      <c r="N15" s="3" t="s">
        <v>28</v>
      </c>
      <c r="O15" s="3" t="s">
        <v>29</v>
      </c>
      <c r="R15" s="3" t="s">
        <v>30</v>
      </c>
      <c r="S15" s="3" t="s">
        <v>31</v>
      </c>
    </row>
    <row r="16">
      <c r="A16" s="2">
        <v>45591.0</v>
      </c>
      <c r="B16" s="3" t="s">
        <v>19</v>
      </c>
      <c r="C16" s="3" t="s">
        <v>20</v>
      </c>
      <c r="D16" s="3" t="s">
        <v>21</v>
      </c>
      <c r="E16" s="3" t="s">
        <v>22</v>
      </c>
      <c r="F16" s="3" t="s">
        <v>23</v>
      </c>
      <c r="G16" s="3" t="s">
        <v>24</v>
      </c>
      <c r="H16" s="4">
        <v>10.0</v>
      </c>
      <c r="I16" s="3" t="s">
        <v>25</v>
      </c>
      <c r="J16" s="4" t="str">
        <f>IFERROR(__xludf.DUMMYFUNCTION("IFERROR(INDEX(GOOGLEFINANCE(""CURRENCY:USDEUR"",A16),2,2),"""")"),"")</f>
        <v/>
      </c>
      <c r="K16" s="6">
        <f t="shared" si="1"/>
        <v>0</v>
      </c>
      <c r="L16" s="3" t="s">
        <v>26</v>
      </c>
      <c r="M16" s="3" t="s">
        <v>27</v>
      </c>
      <c r="N16" s="3" t="s">
        <v>28</v>
      </c>
      <c r="O16" s="3" t="s">
        <v>29</v>
      </c>
      <c r="R16" s="3" t="s">
        <v>30</v>
      </c>
      <c r="S16" s="3" t="s">
        <v>31</v>
      </c>
    </row>
    <row r="17">
      <c r="A17" s="2">
        <v>45622.0</v>
      </c>
      <c r="B17" s="3" t="s">
        <v>19</v>
      </c>
      <c r="C17" s="3" t="s">
        <v>20</v>
      </c>
      <c r="D17" s="3" t="s">
        <v>21</v>
      </c>
      <c r="E17" s="3" t="s">
        <v>22</v>
      </c>
      <c r="F17" s="3" t="s">
        <v>23</v>
      </c>
      <c r="G17" s="3" t="s">
        <v>24</v>
      </c>
      <c r="H17" s="4">
        <v>10.0</v>
      </c>
      <c r="I17" s="3" t="s">
        <v>25</v>
      </c>
      <c r="J17" s="4" t="str">
        <f>IFERROR(__xludf.DUMMYFUNCTION("IFERROR(INDEX(GOOGLEFINANCE(""CURRENCY:USDEUR"",A17),2,2),"""")"),"")</f>
        <v/>
      </c>
      <c r="K17" s="6">
        <f t="shared" si="1"/>
        <v>0</v>
      </c>
      <c r="L17" s="3" t="s">
        <v>26</v>
      </c>
      <c r="M17" s="3" t="s">
        <v>27</v>
      </c>
      <c r="N17" s="3" t="s">
        <v>28</v>
      </c>
      <c r="O17" s="3" t="s">
        <v>29</v>
      </c>
      <c r="R17" s="3" t="s">
        <v>30</v>
      </c>
      <c r="S17" s="3" t="s">
        <v>31</v>
      </c>
    </row>
    <row r="18">
      <c r="A18" s="2">
        <v>45652.0</v>
      </c>
      <c r="B18" s="3" t="s">
        <v>19</v>
      </c>
      <c r="C18" s="3" t="s">
        <v>20</v>
      </c>
      <c r="D18" s="3" t="s">
        <v>21</v>
      </c>
      <c r="E18" s="3" t="s">
        <v>22</v>
      </c>
      <c r="F18" s="3" t="s">
        <v>23</v>
      </c>
      <c r="G18" s="3" t="s">
        <v>24</v>
      </c>
      <c r="H18" s="4">
        <v>10.0</v>
      </c>
      <c r="I18" s="3" t="s">
        <v>25</v>
      </c>
      <c r="J18" s="4" t="str">
        <f>IFERROR(__xludf.DUMMYFUNCTION("IFERROR(INDEX(GOOGLEFINANCE(""CURRENCY:USDEUR"",A18),2,2),"""")"),"")</f>
        <v/>
      </c>
      <c r="K18" s="6">
        <f t="shared" si="1"/>
        <v>0</v>
      </c>
      <c r="L18" s="3" t="s">
        <v>26</v>
      </c>
      <c r="M18" s="3" t="s">
        <v>27</v>
      </c>
      <c r="N18" s="3" t="s">
        <v>28</v>
      </c>
      <c r="O18" s="3" t="s">
        <v>29</v>
      </c>
      <c r="R18" s="3" t="s">
        <v>30</v>
      </c>
      <c r="S18" s="3" t="s">
        <v>31</v>
      </c>
    </row>
    <row r="19">
      <c r="A19" s="2">
        <v>45345.0</v>
      </c>
      <c r="B19" s="3" t="s">
        <v>19</v>
      </c>
      <c r="C19" s="3" t="s">
        <v>20</v>
      </c>
      <c r="D19" s="3" t="s">
        <v>36</v>
      </c>
      <c r="E19" s="3" t="s">
        <v>22</v>
      </c>
      <c r="F19" s="3" t="s">
        <v>37</v>
      </c>
      <c r="G19" s="3" t="s">
        <v>38</v>
      </c>
      <c r="H19" s="4">
        <v>6.96</v>
      </c>
      <c r="I19" s="3" t="s">
        <v>39</v>
      </c>
      <c r="J19" s="4">
        <v>1.0</v>
      </c>
      <c r="K19" s="6">
        <v>6.96</v>
      </c>
      <c r="L19" s="3" t="s">
        <v>26</v>
      </c>
      <c r="M19" s="3" t="s">
        <v>27</v>
      </c>
      <c r="N19" s="3" t="s">
        <v>28</v>
      </c>
      <c r="O19" s="3" t="s">
        <v>29</v>
      </c>
      <c r="R19" s="3" t="s">
        <v>40</v>
      </c>
      <c r="S19" s="3" t="s">
        <v>31</v>
      </c>
    </row>
    <row r="20">
      <c r="A20" s="2">
        <v>45614.0</v>
      </c>
      <c r="B20" s="3" t="s">
        <v>19</v>
      </c>
      <c r="C20" s="3" t="s">
        <v>20</v>
      </c>
      <c r="D20" s="3" t="s">
        <v>41</v>
      </c>
      <c r="E20" s="3" t="s">
        <v>22</v>
      </c>
      <c r="F20" s="3" t="s">
        <v>41</v>
      </c>
      <c r="G20" s="3" t="s">
        <v>42</v>
      </c>
      <c r="H20" s="4">
        <v>13.92</v>
      </c>
      <c r="I20" s="3" t="s">
        <v>39</v>
      </c>
      <c r="J20" s="4">
        <v>1.0</v>
      </c>
      <c r="K20" s="6">
        <v>13.92</v>
      </c>
      <c r="L20" s="3" t="s">
        <v>26</v>
      </c>
      <c r="M20" s="3" t="s">
        <v>27</v>
      </c>
      <c r="N20" s="3" t="s">
        <v>28</v>
      </c>
      <c r="O20" s="3" t="s">
        <v>29</v>
      </c>
      <c r="R20" s="3" t="s">
        <v>40</v>
      </c>
      <c r="S20" s="3" t="s">
        <v>31</v>
      </c>
    </row>
    <row r="21" ht="15.75" customHeight="1">
      <c r="A21" s="2">
        <v>45644.0</v>
      </c>
      <c r="B21" s="3" t="s">
        <v>19</v>
      </c>
      <c r="C21" s="3" t="s">
        <v>20</v>
      </c>
      <c r="D21" s="3" t="s">
        <v>41</v>
      </c>
      <c r="E21" s="3" t="s">
        <v>22</v>
      </c>
      <c r="F21" s="3" t="s">
        <v>41</v>
      </c>
      <c r="G21" s="3" t="s">
        <v>42</v>
      </c>
      <c r="H21" s="4">
        <v>13.92</v>
      </c>
      <c r="I21" s="3" t="s">
        <v>39</v>
      </c>
      <c r="J21" s="4">
        <v>1.0</v>
      </c>
      <c r="K21" s="6">
        <v>13.92</v>
      </c>
      <c r="L21" s="3" t="s">
        <v>26</v>
      </c>
      <c r="M21" s="3" t="s">
        <v>27</v>
      </c>
      <c r="N21" s="3" t="s">
        <v>28</v>
      </c>
      <c r="O21" s="3" t="s">
        <v>29</v>
      </c>
      <c r="R21" s="3" t="s">
        <v>40</v>
      </c>
      <c r="S21" s="3" t="s">
        <v>31</v>
      </c>
    </row>
    <row r="22" ht="15.75" customHeight="1">
      <c r="I22" s="3"/>
      <c r="S22" s="3"/>
    </row>
    <row r="23" ht="15.75" customHeight="1">
      <c r="I23" s="3"/>
      <c r="S23" s="3"/>
    </row>
    <row r="24" ht="15.75" customHeight="1">
      <c r="I24" s="3"/>
      <c r="S24" s="3"/>
    </row>
    <row r="25" ht="15.75" customHeight="1">
      <c r="I25" s="3"/>
      <c r="S25" s="3"/>
    </row>
    <row r="26" ht="15.75" customHeight="1">
      <c r="I26" s="3"/>
      <c r="S26" s="3"/>
    </row>
    <row r="27" ht="15.75" customHeight="1">
      <c r="I27" s="3"/>
      <c r="S27" s="3"/>
    </row>
    <row r="28" ht="15.75" customHeight="1">
      <c r="I28" s="3"/>
      <c r="S28" s="3"/>
    </row>
    <row r="29" ht="15.75" customHeight="1">
      <c r="I29" s="3"/>
      <c r="S29" s="3"/>
    </row>
    <row r="30" ht="15.75" customHeight="1">
      <c r="I30" s="3"/>
      <c r="S30" s="3"/>
    </row>
    <row r="31" ht="15.75" customHeight="1">
      <c r="I31" s="3"/>
      <c r="S31" s="3"/>
    </row>
    <row r="32" ht="15.75" customHeight="1">
      <c r="I32" s="3"/>
      <c r="S32" s="3"/>
    </row>
    <row r="33" ht="15.75" customHeight="1">
      <c r="I33" s="3"/>
      <c r="S33" s="3"/>
    </row>
    <row r="34" ht="15.75" customHeight="1">
      <c r="I34" s="3"/>
      <c r="S34" s="3"/>
    </row>
    <row r="35" ht="15.75" customHeight="1">
      <c r="I35" s="3"/>
      <c r="S35" s="3"/>
    </row>
    <row r="36" ht="15.75" customHeight="1">
      <c r="I36" s="3"/>
      <c r="S36" s="3"/>
    </row>
    <row r="37" ht="15.75" customHeight="1">
      <c r="I37" s="3"/>
      <c r="S37" s="3"/>
    </row>
    <row r="38" ht="15.75" customHeight="1">
      <c r="I38" s="3"/>
      <c r="S38" s="3"/>
    </row>
    <row r="39" ht="15.75" customHeight="1">
      <c r="I39" s="3"/>
      <c r="S39" s="3"/>
    </row>
    <row r="40" ht="15.75" customHeight="1">
      <c r="I40" s="3"/>
      <c r="S40" s="3"/>
    </row>
    <row r="41" ht="15.75" customHeight="1">
      <c r="I41" s="3"/>
      <c r="S41" s="3"/>
    </row>
    <row r="42" ht="15.75" customHeight="1">
      <c r="I42" s="3"/>
      <c r="S42" s="3"/>
    </row>
    <row r="43" ht="15.75" customHeight="1">
      <c r="I43" s="3"/>
      <c r="S43" s="3"/>
    </row>
    <row r="44" ht="15.75" customHeight="1">
      <c r="I44" s="3"/>
      <c r="S44" s="3"/>
    </row>
    <row r="45" ht="15.75" customHeight="1">
      <c r="I45" s="3"/>
      <c r="S45" s="3"/>
    </row>
    <row r="46" ht="15.75" customHeight="1">
      <c r="I46" s="3"/>
      <c r="S46" s="3"/>
    </row>
    <row r="47" ht="15.75" customHeight="1">
      <c r="I47" s="3"/>
      <c r="S47" s="3"/>
    </row>
    <row r="48" ht="15.75" customHeight="1">
      <c r="I48" s="3"/>
      <c r="S48" s="3"/>
    </row>
    <row r="49" ht="15.75" customHeight="1">
      <c r="I49" s="3"/>
      <c r="S49" s="3"/>
    </row>
    <row r="50" ht="15.75" customHeight="1">
      <c r="I50" s="3"/>
      <c r="S50" s="3"/>
    </row>
    <row r="51" ht="15.75" customHeight="1">
      <c r="I51" s="3"/>
      <c r="S51" s="3"/>
    </row>
    <row r="52" ht="15.75" customHeight="1">
      <c r="I52" s="3"/>
      <c r="S52" s="3"/>
    </row>
    <row r="53" ht="15.75" customHeight="1">
      <c r="I53" s="3"/>
      <c r="S53" s="3"/>
    </row>
    <row r="54" ht="15.75" customHeight="1">
      <c r="I54" s="3"/>
      <c r="S54" s="3"/>
    </row>
    <row r="55" ht="15.75" customHeight="1">
      <c r="I55" s="3"/>
      <c r="S55" s="3"/>
    </row>
    <row r="56" ht="15.75" customHeight="1">
      <c r="I56" s="3"/>
      <c r="S56" s="3"/>
    </row>
    <row r="57" ht="15.75" customHeight="1">
      <c r="I57" s="3"/>
      <c r="S57" s="3"/>
    </row>
    <row r="58" ht="15.75" customHeight="1">
      <c r="I58" s="3"/>
      <c r="S58" s="3"/>
    </row>
    <row r="59" ht="15.75" customHeight="1">
      <c r="I59" s="3"/>
      <c r="S59" s="3"/>
    </row>
    <row r="60" ht="15.75" customHeight="1">
      <c r="I60" s="3"/>
      <c r="S60" s="3"/>
    </row>
    <row r="61" ht="15.75" customHeight="1">
      <c r="I61" s="3"/>
      <c r="S61" s="3"/>
    </row>
    <row r="62" ht="15.75" customHeight="1">
      <c r="I62" s="3"/>
      <c r="S62" s="3"/>
    </row>
    <row r="63" ht="15.75" customHeight="1">
      <c r="I63" s="3"/>
      <c r="S63" s="3"/>
    </row>
    <row r="64" ht="15.75" customHeight="1">
      <c r="I64" s="3"/>
      <c r="S64" s="3"/>
    </row>
    <row r="65" ht="15.75" customHeight="1">
      <c r="I65" s="3"/>
      <c r="S65" s="3"/>
    </row>
    <row r="66" ht="15.75" customHeight="1">
      <c r="I66" s="3"/>
      <c r="S66" s="3"/>
    </row>
    <row r="67" ht="15.75" customHeight="1">
      <c r="I67" s="3"/>
      <c r="S67" s="3"/>
    </row>
    <row r="68" ht="15.75" customHeight="1">
      <c r="I68" s="3"/>
      <c r="S68" s="3"/>
    </row>
    <row r="69" ht="15.75" customHeight="1">
      <c r="I69" s="3"/>
      <c r="S69" s="3"/>
    </row>
    <row r="70" ht="15.75" customHeight="1">
      <c r="I70" s="3"/>
      <c r="S70" s="3"/>
    </row>
    <row r="71" ht="15.75" customHeight="1">
      <c r="I71" s="3"/>
      <c r="S71" s="3"/>
    </row>
    <row r="72" ht="15.75" customHeight="1">
      <c r="I72" s="3"/>
      <c r="S72" s="3"/>
    </row>
    <row r="73" ht="15.75" customHeight="1">
      <c r="I73" s="3"/>
      <c r="S73" s="3"/>
    </row>
    <row r="74" ht="15.75" customHeight="1">
      <c r="I74" s="3"/>
      <c r="S74" s="3"/>
    </row>
    <row r="75" ht="15.75" customHeight="1">
      <c r="I75" s="3"/>
      <c r="S75" s="3"/>
    </row>
    <row r="76" ht="15.75" customHeight="1">
      <c r="I76" s="3"/>
      <c r="S76" s="3"/>
    </row>
    <row r="77" ht="15.75" customHeight="1">
      <c r="I77" s="3"/>
      <c r="S77" s="3"/>
    </row>
    <row r="78" ht="15.75" customHeight="1">
      <c r="I78" s="3"/>
      <c r="S78" s="3"/>
    </row>
    <row r="79" ht="15.75" customHeight="1">
      <c r="I79" s="3"/>
      <c r="S79" s="3"/>
    </row>
    <row r="80" ht="15.75" customHeight="1">
      <c r="I80" s="3"/>
      <c r="S80" s="3"/>
    </row>
    <row r="81" ht="15.75" customHeight="1">
      <c r="I81" s="3"/>
      <c r="S81" s="3"/>
    </row>
    <row r="82" ht="15.75" customHeight="1">
      <c r="I82" s="3"/>
      <c r="S82" s="3"/>
    </row>
    <row r="83" ht="15.75" customHeight="1">
      <c r="I83" s="3"/>
      <c r="S83" s="3"/>
    </row>
    <row r="84" ht="15.75" customHeight="1">
      <c r="I84" s="3"/>
      <c r="S84" s="3"/>
    </row>
    <row r="85" ht="15.75" customHeight="1">
      <c r="I85" s="3"/>
      <c r="S85" s="3"/>
    </row>
    <row r="86" ht="15.75" customHeight="1">
      <c r="I86" s="3"/>
      <c r="S86" s="3"/>
    </row>
    <row r="87" ht="15.75" customHeight="1">
      <c r="I87" s="3"/>
      <c r="S87" s="3"/>
    </row>
    <row r="88" ht="15.75" customHeight="1">
      <c r="I88" s="3"/>
      <c r="S88" s="3"/>
    </row>
    <row r="89" ht="15.75" customHeight="1">
      <c r="I89" s="3"/>
      <c r="S89" s="3"/>
    </row>
    <row r="90" ht="15.75" customHeight="1">
      <c r="I90" s="3"/>
      <c r="S90" s="3"/>
    </row>
    <row r="91" ht="15.75" customHeight="1">
      <c r="I91" s="3"/>
      <c r="S91" s="3"/>
    </row>
    <row r="92" ht="15.75" customHeight="1">
      <c r="I92" s="3"/>
      <c r="S92" s="3"/>
    </row>
    <row r="93" ht="15.75" customHeight="1">
      <c r="I93" s="3"/>
      <c r="S93" s="3"/>
    </row>
    <row r="94" ht="15.75" customHeight="1">
      <c r="I94" s="3"/>
      <c r="S94" s="3"/>
    </row>
    <row r="95" ht="15.75" customHeight="1">
      <c r="I95" s="3"/>
      <c r="S95" s="3"/>
    </row>
    <row r="96" ht="15.75" customHeight="1">
      <c r="I96" s="3"/>
      <c r="S96" s="3"/>
    </row>
    <row r="97" ht="15.75" customHeight="1">
      <c r="I97" s="3"/>
      <c r="S97" s="3"/>
    </row>
    <row r="98" ht="15.75" customHeight="1">
      <c r="I98" s="3"/>
      <c r="S98" s="3"/>
    </row>
    <row r="99" ht="15.75" customHeight="1">
      <c r="I99" s="3"/>
      <c r="S99" s="3"/>
    </row>
    <row r="100" ht="15.75" customHeight="1">
      <c r="I100" s="3"/>
      <c r="S100" s="3"/>
    </row>
    <row r="101" ht="15.75" customHeight="1">
      <c r="I101" s="3"/>
      <c r="S101" s="3"/>
    </row>
    <row r="102" ht="15.75" customHeight="1">
      <c r="I102" s="3"/>
      <c r="S102" s="3"/>
    </row>
    <row r="103" ht="15.75" customHeight="1">
      <c r="I103" s="3"/>
      <c r="S103" s="3"/>
    </row>
    <row r="104" ht="15.75" customHeight="1">
      <c r="I104" s="3"/>
      <c r="S104" s="3"/>
    </row>
    <row r="105" ht="15.75" customHeight="1">
      <c r="I105" s="3"/>
      <c r="S105" s="3"/>
    </row>
    <row r="106" ht="15.75" customHeight="1">
      <c r="I106" s="3"/>
      <c r="S106" s="3"/>
    </row>
    <row r="107" ht="15.75" customHeight="1">
      <c r="I107" s="3"/>
      <c r="S107" s="3"/>
    </row>
    <row r="108" ht="15.75" customHeight="1">
      <c r="I108" s="3"/>
      <c r="S108" s="3"/>
    </row>
    <row r="109" ht="15.75" customHeight="1">
      <c r="I109" s="3"/>
      <c r="S109" s="3"/>
    </row>
    <row r="110" ht="15.75" customHeight="1">
      <c r="I110" s="3"/>
      <c r="S110" s="3"/>
    </row>
    <row r="111" ht="15.75" customHeight="1">
      <c r="I111" s="3"/>
      <c r="S111" s="3"/>
    </row>
    <row r="112" ht="15.75" customHeight="1">
      <c r="I112" s="3"/>
      <c r="S112" s="3"/>
    </row>
    <row r="113" ht="15.75" customHeight="1">
      <c r="I113" s="3"/>
      <c r="S113" s="3"/>
    </row>
    <row r="114" ht="15.75" customHeight="1">
      <c r="I114" s="3"/>
      <c r="S114" s="3"/>
    </row>
    <row r="115" ht="15.75" customHeight="1">
      <c r="I115" s="3"/>
      <c r="S115" s="3"/>
    </row>
    <row r="116" ht="15.75" customHeight="1">
      <c r="I116" s="3"/>
      <c r="S116" s="3"/>
    </row>
    <row r="117" ht="15.75" customHeight="1">
      <c r="I117" s="3"/>
      <c r="S117" s="3"/>
    </row>
    <row r="118" ht="15.75" customHeight="1">
      <c r="I118" s="3"/>
      <c r="S118" s="3"/>
    </row>
    <row r="119" ht="15.75" customHeight="1">
      <c r="I119" s="3"/>
      <c r="S119" s="3"/>
    </row>
    <row r="120" ht="15.75" customHeight="1">
      <c r="I120" s="3"/>
      <c r="S120" s="3"/>
    </row>
    <row r="121" ht="15.75" customHeight="1">
      <c r="I121" s="3"/>
      <c r="S121" s="3"/>
    </row>
    <row r="122" ht="15.75" customHeight="1">
      <c r="I122" s="3"/>
      <c r="S122" s="3"/>
    </row>
    <row r="123" ht="15.75" customHeight="1">
      <c r="I123" s="3"/>
      <c r="S123" s="3"/>
    </row>
    <row r="124" ht="15.75" customHeight="1">
      <c r="I124" s="3"/>
      <c r="S124" s="3"/>
    </row>
    <row r="125" ht="15.75" customHeight="1">
      <c r="I125" s="3"/>
      <c r="S125" s="3"/>
    </row>
    <row r="126" ht="15.75" customHeight="1">
      <c r="I126" s="3"/>
      <c r="S126" s="3"/>
    </row>
    <row r="127" ht="15.75" customHeight="1">
      <c r="I127" s="3"/>
      <c r="S127" s="3"/>
    </row>
    <row r="128" ht="15.75" customHeight="1">
      <c r="I128" s="3"/>
      <c r="S128" s="3"/>
    </row>
    <row r="129" ht="15.75" customHeight="1">
      <c r="I129" s="3"/>
      <c r="S129" s="3"/>
    </row>
    <row r="130" ht="15.75" customHeight="1">
      <c r="I130" s="3"/>
      <c r="S130" s="3"/>
    </row>
    <row r="131" ht="15.75" customHeight="1">
      <c r="I131" s="3"/>
      <c r="S131" s="3"/>
    </row>
    <row r="132" ht="15.75" customHeight="1">
      <c r="I132" s="3"/>
      <c r="S132" s="3"/>
    </row>
    <row r="133" ht="15.75" customHeight="1">
      <c r="I133" s="3"/>
      <c r="S133" s="3"/>
    </row>
    <row r="134" ht="15.75" customHeight="1">
      <c r="I134" s="3"/>
      <c r="S134" s="3"/>
    </row>
    <row r="135" ht="15.75" customHeight="1">
      <c r="I135" s="3"/>
      <c r="S135" s="3"/>
    </row>
    <row r="136" ht="15.75" customHeight="1">
      <c r="I136" s="3"/>
      <c r="S136" s="3"/>
    </row>
    <row r="137" ht="15.75" customHeight="1">
      <c r="I137" s="3"/>
      <c r="S137" s="3"/>
    </row>
    <row r="138" ht="15.75" customHeight="1">
      <c r="I138" s="3"/>
      <c r="S138" s="3"/>
    </row>
    <row r="139" ht="15.75" customHeight="1">
      <c r="I139" s="3"/>
      <c r="S139" s="3"/>
    </row>
    <row r="140" ht="15.75" customHeight="1">
      <c r="I140" s="3"/>
      <c r="S140" s="3"/>
    </row>
    <row r="141" ht="15.75" customHeight="1">
      <c r="I141" s="3"/>
      <c r="S141" s="3"/>
    </row>
    <row r="142" ht="15.75" customHeight="1">
      <c r="I142" s="3"/>
      <c r="S142" s="3"/>
    </row>
    <row r="143" ht="15.75" customHeight="1">
      <c r="I143" s="3"/>
      <c r="S143" s="3"/>
    </row>
    <row r="144" ht="15.75" customHeight="1">
      <c r="I144" s="3"/>
      <c r="S144" s="3"/>
    </row>
    <row r="145" ht="15.75" customHeight="1">
      <c r="I145" s="3"/>
      <c r="S145" s="3"/>
    </row>
    <row r="146" ht="15.75" customHeight="1">
      <c r="I146" s="3"/>
      <c r="S146" s="3"/>
    </row>
    <row r="147" ht="15.75" customHeight="1">
      <c r="I147" s="3"/>
      <c r="S147" s="3"/>
    </row>
    <row r="148" ht="15.75" customHeight="1">
      <c r="I148" s="3"/>
      <c r="S148" s="3"/>
    </row>
    <row r="149" ht="15.75" customHeight="1">
      <c r="I149" s="3"/>
      <c r="S149" s="3"/>
    </row>
    <row r="150" ht="15.75" customHeight="1">
      <c r="I150" s="3"/>
      <c r="S150" s="3"/>
    </row>
    <row r="151" ht="15.75" customHeight="1">
      <c r="I151" s="3"/>
      <c r="S151" s="3"/>
    </row>
    <row r="152" ht="15.75" customHeight="1">
      <c r="I152" s="3"/>
      <c r="S152" s="3"/>
    </row>
    <row r="153" ht="15.75" customHeight="1">
      <c r="I153" s="3"/>
      <c r="S153" s="3"/>
    </row>
    <row r="154" ht="15.75" customHeight="1">
      <c r="I154" s="3"/>
      <c r="S154" s="3"/>
    </row>
    <row r="155" ht="15.75" customHeight="1">
      <c r="I155" s="3"/>
      <c r="S155" s="3"/>
    </row>
    <row r="156" ht="15.75" customHeight="1">
      <c r="I156" s="3"/>
      <c r="S156" s="3"/>
    </row>
    <row r="157" ht="15.75" customHeight="1">
      <c r="I157" s="3"/>
      <c r="S157" s="3"/>
    </row>
    <row r="158" ht="15.75" customHeight="1">
      <c r="I158" s="3"/>
      <c r="S158" s="3"/>
    </row>
    <row r="159" ht="15.75" customHeight="1">
      <c r="I159" s="3"/>
      <c r="S159" s="3"/>
    </row>
    <row r="160" ht="15.75" customHeight="1">
      <c r="I160" s="3"/>
      <c r="S160" s="3"/>
    </row>
    <row r="161" ht="15.75" customHeight="1">
      <c r="I161" s="3"/>
      <c r="S161" s="3"/>
    </row>
    <row r="162" ht="15.75" customHeight="1">
      <c r="I162" s="3"/>
      <c r="S162" s="3"/>
    </row>
    <row r="163" ht="15.75" customHeight="1">
      <c r="I163" s="3"/>
      <c r="S163" s="3"/>
    </row>
    <row r="164" ht="15.75" customHeight="1">
      <c r="I164" s="3"/>
      <c r="S164" s="3"/>
    </row>
    <row r="165" ht="15.75" customHeight="1">
      <c r="I165" s="3"/>
      <c r="S165" s="3"/>
    </row>
    <row r="166" ht="15.75" customHeight="1">
      <c r="I166" s="3"/>
      <c r="S166" s="3"/>
    </row>
    <row r="167" ht="15.75" customHeight="1">
      <c r="I167" s="3"/>
      <c r="S167" s="3"/>
    </row>
    <row r="168" ht="15.75" customHeight="1">
      <c r="I168" s="3"/>
      <c r="S168" s="3"/>
    </row>
    <row r="169" ht="15.75" customHeight="1">
      <c r="I169" s="3"/>
      <c r="S169" s="3"/>
    </row>
    <row r="170" ht="15.75" customHeight="1">
      <c r="I170" s="3"/>
      <c r="S170" s="3"/>
    </row>
    <row r="171" ht="15.75" customHeight="1">
      <c r="I171" s="3"/>
      <c r="S171" s="3"/>
    </row>
    <row r="172" ht="15.75" customHeight="1">
      <c r="I172" s="3"/>
      <c r="S172" s="3"/>
    </row>
    <row r="173" ht="15.75" customHeight="1">
      <c r="I173" s="3"/>
      <c r="S173" s="3"/>
    </row>
    <row r="174" ht="15.75" customHeight="1">
      <c r="I174" s="3"/>
      <c r="S174" s="3"/>
    </row>
    <row r="175" ht="15.75" customHeight="1">
      <c r="I175" s="3"/>
      <c r="S175" s="3"/>
    </row>
    <row r="176" ht="15.75" customHeight="1">
      <c r="I176" s="3"/>
      <c r="S176" s="3"/>
    </row>
    <row r="177" ht="15.75" customHeight="1">
      <c r="I177" s="3"/>
      <c r="S177" s="3"/>
    </row>
    <row r="178" ht="15.75" customHeight="1">
      <c r="I178" s="3"/>
      <c r="S178" s="3"/>
    </row>
    <row r="179" ht="15.75" customHeight="1">
      <c r="I179" s="3"/>
      <c r="S179" s="3"/>
    </row>
    <row r="180" ht="15.75" customHeight="1">
      <c r="I180" s="3"/>
      <c r="S180" s="3"/>
    </row>
    <row r="181" ht="15.75" customHeight="1">
      <c r="I181" s="3"/>
      <c r="S181" s="3"/>
    </row>
    <row r="182" ht="15.75" customHeight="1">
      <c r="I182" s="3"/>
      <c r="S182" s="3"/>
    </row>
    <row r="183" ht="15.75" customHeight="1">
      <c r="I183" s="3"/>
      <c r="S183" s="3"/>
    </row>
    <row r="184" ht="15.75" customHeight="1">
      <c r="I184" s="3"/>
      <c r="S184" s="3"/>
    </row>
    <row r="185" ht="15.75" customHeight="1">
      <c r="I185" s="3"/>
      <c r="S185" s="3"/>
    </row>
    <row r="186" ht="15.75" customHeight="1">
      <c r="I186" s="3"/>
      <c r="S186" s="3"/>
    </row>
    <row r="187" ht="15.75" customHeight="1">
      <c r="I187" s="3"/>
      <c r="S187" s="3"/>
    </row>
    <row r="188" ht="15.75" customHeight="1">
      <c r="I188" s="3"/>
      <c r="S188" s="3"/>
    </row>
    <row r="189" ht="15.75" customHeight="1">
      <c r="I189" s="3"/>
      <c r="S189" s="3"/>
    </row>
    <row r="190" ht="15.75" customHeight="1">
      <c r="I190" s="3"/>
      <c r="S190" s="3"/>
    </row>
    <row r="191" ht="15.75" customHeight="1">
      <c r="I191" s="3"/>
      <c r="S191" s="3"/>
    </row>
    <row r="192" ht="15.75" customHeight="1">
      <c r="I192" s="3"/>
      <c r="S192" s="3"/>
    </row>
    <row r="193" ht="15.75" customHeight="1">
      <c r="I193" s="3"/>
      <c r="S193" s="3"/>
    </row>
    <row r="194" ht="15.75" customHeight="1">
      <c r="I194" s="3"/>
      <c r="S194" s="3"/>
    </row>
    <row r="195" ht="15.75" customHeight="1">
      <c r="I195" s="3"/>
      <c r="S195" s="3"/>
    </row>
    <row r="196" ht="15.75" customHeight="1">
      <c r="I196" s="3"/>
      <c r="S196" s="3"/>
    </row>
    <row r="197" ht="15.75" customHeight="1">
      <c r="I197" s="3"/>
      <c r="S197" s="3"/>
    </row>
    <row r="198" ht="15.75" customHeight="1">
      <c r="I198" s="3"/>
      <c r="S198" s="3"/>
    </row>
    <row r="199" ht="15.75" customHeight="1">
      <c r="I199" s="3"/>
      <c r="S199" s="3"/>
    </row>
    <row r="200" ht="15.75" customHeight="1">
      <c r="I200" s="3"/>
      <c r="S200" s="3"/>
    </row>
    <row r="201" ht="15.75" customHeight="1">
      <c r="I201" s="3"/>
      <c r="S201" s="3"/>
    </row>
    <row r="202" ht="15.75" customHeight="1">
      <c r="I202" s="3"/>
      <c r="S202" s="3"/>
    </row>
    <row r="203" ht="15.75" customHeight="1">
      <c r="I203" s="3"/>
      <c r="S203" s="3"/>
    </row>
    <row r="204" ht="15.75" customHeight="1">
      <c r="I204" s="3"/>
      <c r="S204" s="3"/>
    </row>
    <row r="205" ht="15.75" customHeight="1">
      <c r="I205" s="3"/>
      <c r="S205" s="3"/>
    </row>
    <row r="206" ht="15.75" customHeight="1">
      <c r="I206" s="3"/>
      <c r="S206" s="3"/>
    </row>
    <row r="207" ht="15.75" customHeight="1">
      <c r="I207" s="3"/>
      <c r="S207" s="3"/>
    </row>
    <row r="208" ht="15.75" customHeight="1">
      <c r="I208" s="3"/>
      <c r="S208" s="3"/>
    </row>
    <row r="209" ht="15.75" customHeight="1">
      <c r="I209" s="3"/>
      <c r="S209" s="3"/>
    </row>
    <row r="210" ht="15.75" customHeight="1">
      <c r="I210" s="3"/>
      <c r="S210" s="3"/>
    </row>
    <row r="211" ht="15.75" customHeight="1">
      <c r="I211" s="3"/>
      <c r="S211" s="3"/>
    </row>
    <row r="212" ht="15.75" customHeight="1">
      <c r="I212" s="3"/>
      <c r="S212" s="3"/>
    </row>
    <row r="213" ht="15.75" customHeight="1">
      <c r="I213" s="3"/>
      <c r="S213" s="3"/>
    </row>
    <row r="214" ht="15.75" customHeight="1">
      <c r="I214" s="3"/>
      <c r="S214" s="3"/>
    </row>
    <row r="215" ht="15.75" customHeight="1">
      <c r="I215" s="3"/>
      <c r="S215" s="3"/>
    </row>
    <row r="216" ht="15.75" customHeight="1">
      <c r="I216" s="3"/>
      <c r="S216" s="3"/>
    </row>
    <row r="217" ht="15.75" customHeight="1">
      <c r="I217" s="3"/>
      <c r="S217" s="3"/>
    </row>
    <row r="218" ht="15.75" customHeight="1">
      <c r="I218" s="3"/>
      <c r="S218" s="3"/>
    </row>
    <row r="219" ht="15.75" customHeight="1">
      <c r="I219" s="3"/>
      <c r="S219" s="3"/>
    </row>
    <row r="220" ht="15.75" customHeight="1">
      <c r="I220" s="3"/>
      <c r="S220" s="3"/>
    </row>
    <row r="221" ht="15.75" customHeight="1">
      <c r="I221" s="3"/>
      <c r="S221" s="3"/>
    </row>
    <row r="222" ht="15.75" customHeight="1">
      <c r="I222" s="3"/>
      <c r="S222" s="3"/>
    </row>
    <row r="223" ht="15.75" customHeight="1">
      <c r="I223" s="3"/>
      <c r="S223" s="3"/>
    </row>
    <row r="224" ht="15.75" customHeight="1">
      <c r="I224" s="3"/>
      <c r="S224" s="3"/>
    </row>
    <row r="225" ht="15.75" customHeight="1">
      <c r="I225" s="3"/>
      <c r="S225" s="3"/>
    </row>
    <row r="226" ht="15.75" customHeight="1">
      <c r="I226" s="3"/>
      <c r="S226" s="3"/>
    </row>
    <row r="227" ht="15.75" customHeight="1">
      <c r="I227" s="3"/>
      <c r="S227" s="3"/>
    </row>
    <row r="228" ht="15.75" customHeight="1">
      <c r="I228" s="3"/>
      <c r="S228" s="3"/>
    </row>
    <row r="229" ht="15.75" customHeight="1">
      <c r="I229" s="3"/>
      <c r="S229" s="3"/>
    </row>
    <row r="230" ht="15.75" customHeight="1">
      <c r="I230" s="3"/>
      <c r="S230" s="3"/>
    </row>
    <row r="231" ht="15.75" customHeight="1">
      <c r="I231" s="3"/>
      <c r="S231" s="3"/>
    </row>
    <row r="232" ht="15.75" customHeight="1">
      <c r="I232" s="3"/>
      <c r="S232" s="3"/>
    </row>
    <row r="233" ht="15.75" customHeight="1">
      <c r="I233" s="3"/>
      <c r="S233" s="3"/>
    </row>
    <row r="234" ht="15.75" customHeight="1">
      <c r="I234" s="3"/>
      <c r="S234" s="3"/>
    </row>
    <row r="235" ht="15.75" customHeight="1">
      <c r="I235" s="3"/>
      <c r="S235" s="3"/>
    </row>
    <row r="236" ht="15.75" customHeight="1">
      <c r="I236" s="3"/>
      <c r="S236" s="3"/>
    </row>
    <row r="237" ht="15.75" customHeight="1">
      <c r="I237" s="3"/>
      <c r="S237" s="3"/>
    </row>
    <row r="238" ht="15.75" customHeight="1">
      <c r="I238" s="3"/>
      <c r="S238" s="3"/>
    </row>
    <row r="239" ht="15.75" customHeight="1">
      <c r="I239" s="3"/>
      <c r="S239" s="3"/>
    </row>
    <row r="240" ht="15.75" customHeight="1">
      <c r="I240" s="3"/>
      <c r="S240" s="3"/>
    </row>
    <row r="241" ht="15.75" customHeight="1">
      <c r="I241" s="3"/>
      <c r="S241" s="3"/>
    </row>
    <row r="242" ht="15.75" customHeight="1">
      <c r="I242" s="3"/>
      <c r="S242" s="3"/>
    </row>
    <row r="243" ht="15.75" customHeight="1">
      <c r="I243" s="3"/>
      <c r="S243" s="3"/>
    </row>
    <row r="244" ht="15.75" customHeight="1">
      <c r="I244" s="3"/>
      <c r="S244" s="3"/>
    </row>
    <row r="245" ht="15.75" customHeight="1">
      <c r="I245" s="3"/>
      <c r="S245" s="3"/>
    </row>
    <row r="246" ht="15.75" customHeight="1">
      <c r="I246" s="3"/>
      <c r="S246" s="3"/>
    </row>
    <row r="247" ht="15.75" customHeight="1">
      <c r="I247" s="3"/>
      <c r="S247" s="3"/>
    </row>
    <row r="248" ht="15.75" customHeight="1">
      <c r="I248" s="3"/>
      <c r="S248" s="3"/>
    </row>
    <row r="249" ht="15.75" customHeight="1">
      <c r="I249" s="3"/>
      <c r="S249" s="3"/>
    </row>
    <row r="250" ht="15.75" customHeight="1">
      <c r="I250" s="3"/>
      <c r="S250" s="3"/>
    </row>
    <row r="251" ht="15.75" customHeight="1">
      <c r="I251" s="3"/>
      <c r="S251" s="3"/>
    </row>
    <row r="252" ht="15.75" customHeight="1">
      <c r="I252" s="3"/>
      <c r="S252" s="3"/>
    </row>
    <row r="253" ht="15.75" customHeight="1">
      <c r="I253" s="3"/>
      <c r="S253" s="3"/>
    </row>
    <row r="254" ht="15.75" customHeight="1">
      <c r="I254" s="3"/>
      <c r="S254" s="3"/>
    </row>
    <row r="255" ht="15.75" customHeight="1">
      <c r="I255" s="3"/>
      <c r="S255" s="3"/>
    </row>
    <row r="256" ht="15.75" customHeight="1">
      <c r="I256" s="3"/>
      <c r="S256" s="3"/>
    </row>
    <row r="257" ht="15.75" customHeight="1">
      <c r="I257" s="3"/>
      <c r="S257" s="3"/>
    </row>
    <row r="258" ht="15.75" customHeight="1">
      <c r="I258" s="3"/>
      <c r="S258" s="3"/>
    </row>
    <row r="259" ht="15.75" customHeight="1">
      <c r="I259" s="3"/>
      <c r="S259" s="3"/>
    </row>
    <row r="260" ht="15.75" customHeight="1">
      <c r="I260" s="3"/>
      <c r="S260" s="3"/>
    </row>
    <row r="261" ht="15.75" customHeight="1">
      <c r="I261" s="3"/>
      <c r="S261" s="3"/>
    </row>
    <row r="262" ht="15.75" customHeight="1">
      <c r="I262" s="3"/>
      <c r="S262" s="3"/>
    </row>
    <row r="263" ht="15.75" customHeight="1">
      <c r="I263" s="3"/>
      <c r="S263" s="3"/>
    </row>
    <row r="264" ht="15.75" customHeight="1">
      <c r="I264" s="3"/>
      <c r="S264" s="3"/>
    </row>
    <row r="265" ht="15.75" customHeight="1">
      <c r="I265" s="3"/>
      <c r="S265" s="3"/>
    </row>
    <row r="266" ht="15.75" customHeight="1">
      <c r="I266" s="3"/>
      <c r="S266" s="3"/>
    </row>
    <row r="267" ht="15.75" customHeight="1">
      <c r="I267" s="3"/>
      <c r="S267" s="3"/>
    </row>
    <row r="268" ht="15.75" customHeight="1">
      <c r="I268" s="3"/>
      <c r="S268" s="3"/>
    </row>
    <row r="269" ht="15.75" customHeight="1">
      <c r="I269" s="3"/>
      <c r="S269" s="3"/>
    </row>
    <row r="270" ht="15.75" customHeight="1">
      <c r="I270" s="3"/>
      <c r="S270" s="3"/>
    </row>
    <row r="271" ht="15.75" customHeight="1">
      <c r="I271" s="3"/>
      <c r="S271" s="3"/>
    </row>
    <row r="272" ht="15.75" customHeight="1">
      <c r="I272" s="3"/>
      <c r="S272" s="3"/>
    </row>
    <row r="273" ht="15.75" customHeight="1">
      <c r="I273" s="3"/>
      <c r="S273" s="3"/>
    </row>
    <row r="274" ht="15.75" customHeight="1">
      <c r="I274" s="3"/>
      <c r="S274" s="3"/>
    </row>
    <row r="275" ht="15.75" customHeight="1">
      <c r="I275" s="3"/>
      <c r="S275" s="3"/>
    </row>
    <row r="276" ht="15.75" customHeight="1">
      <c r="I276" s="3"/>
      <c r="S276" s="3"/>
    </row>
    <row r="277" ht="15.75" customHeight="1">
      <c r="I277" s="3"/>
      <c r="S277" s="3"/>
    </row>
    <row r="278" ht="15.75" customHeight="1">
      <c r="I278" s="3"/>
      <c r="S278" s="3"/>
    </row>
    <row r="279" ht="15.75" customHeight="1">
      <c r="I279" s="3"/>
      <c r="S279" s="3"/>
    </row>
    <row r="280" ht="15.75" customHeight="1">
      <c r="I280" s="3"/>
      <c r="S280" s="3"/>
    </row>
    <row r="281" ht="15.75" customHeight="1">
      <c r="I281" s="3"/>
      <c r="S281" s="3"/>
    </row>
    <row r="282" ht="15.75" customHeight="1">
      <c r="I282" s="3"/>
      <c r="S282" s="3"/>
    </row>
    <row r="283" ht="15.75" customHeight="1">
      <c r="I283" s="3"/>
      <c r="S283" s="3"/>
    </row>
    <row r="284" ht="15.75" customHeight="1">
      <c r="I284" s="3"/>
      <c r="S284" s="3"/>
    </row>
    <row r="285" ht="15.75" customHeight="1">
      <c r="I285" s="3"/>
      <c r="S285" s="3"/>
    </row>
    <row r="286" ht="15.75" customHeight="1">
      <c r="I286" s="3"/>
      <c r="S286" s="3"/>
    </row>
    <row r="287" ht="15.75" customHeight="1">
      <c r="I287" s="3"/>
      <c r="S287" s="3"/>
    </row>
    <row r="288" ht="15.75" customHeight="1">
      <c r="I288" s="3"/>
      <c r="S288" s="3"/>
    </row>
    <row r="289" ht="15.75" customHeight="1">
      <c r="I289" s="3"/>
      <c r="S289" s="3"/>
    </row>
    <row r="290" ht="15.75" customHeight="1">
      <c r="I290" s="3"/>
      <c r="S290" s="3"/>
    </row>
    <row r="291" ht="15.75" customHeight="1">
      <c r="I291" s="3"/>
      <c r="S291" s="3"/>
    </row>
    <row r="292" ht="15.75" customHeight="1">
      <c r="I292" s="3"/>
      <c r="S292" s="3"/>
    </row>
    <row r="293" ht="15.75" customHeight="1">
      <c r="I293" s="3"/>
      <c r="S293" s="3"/>
    </row>
    <row r="294" ht="15.75" customHeight="1">
      <c r="I294" s="3"/>
      <c r="S294" s="3"/>
    </row>
    <row r="295" ht="15.75" customHeight="1">
      <c r="I295" s="3"/>
      <c r="S295" s="3"/>
    </row>
    <row r="296" ht="15.75" customHeight="1">
      <c r="I296" s="3"/>
      <c r="S296" s="3"/>
    </row>
    <row r="297" ht="15.75" customHeight="1">
      <c r="I297" s="3"/>
      <c r="S297" s="3"/>
    </row>
    <row r="298" ht="15.75" customHeight="1">
      <c r="I298" s="3"/>
      <c r="S298" s="3"/>
    </row>
    <row r="299" ht="15.75" customHeight="1">
      <c r="I299" s="3"/>
      <c r="S299" s="3"/>
    </row>
    <row r="300" ht="15.75" customHeight="1">
      <c r="I300" s="3"/>
      <c r="S300" s="3"/>
    </row>
    <row r="301" ht="15.75" customHeight="1">
      <c r="I301" s="3"/>
      <c r="S301" s="3"/>
    </row>
    <row r="302" ht="15.75" customHeight="1">
      <c r="I302" s="3"/>
      <c r="S302" s="3"/>
    </row>
    <row r="303" ht="15.75" customHeight="1">
      <c r="I303" s="3"/>
      <c r="S303" s="3"/>
    </row>
    <row r="304" ht="15.75" customHeight="1">
      <c r="I304" s="3"/>
      <c r="S304" s="3"/>
    </row>
    <row r="305" ht="15.75" customHeight="1">
      <c r="I305" s="3"/>
      <c r="S305" s="3"/>
    </row>
    <row r="306" ht="15.75" customHeight="1">
      <c r="I306" s="3"/>
      <c r="S306" s="3"/>
    </row>
    <row r="307" ht="15.75" customHeight="1">
      <c r="I307" s="3"/>
      <c r="S307" s="3"/>
    </row>
    <row r="308" ht="15.75" customHeight="1">
      <c r="I308" s="3"/>
      <c r="S308" s="3"/>
    </row>
    <row r="309" ht="15.75" customHeight="1">
      <c r="I309" s="3"/>
      <c r="S309" s="3"/>
    </row>
    <row r="310" ht="15.75" customHeight="1">
      <c r="I310" s="3"/>
      <c r="S310" s="3"/>
    </row>
    <row r="311" ht="15.75" customHeight="1">
      <c r="I311" s="3"/>
      <c r="S311" s="3"/>
    </row>
    <row r="312" ht="15.75" customHeight="1">
      <c r="I312" s="3"/>
      <c r="S312" s="3"/>
    </row>
    <row r="313" ht="15.75" customHeight="1">
      <c r="I313" s="3"/>
      <c r="S313" s="3"/>
    </row>
    <row r="314" ht="15.75" customHeight="1">
      <c r="I314" s="3"/>
      <c r="S314" s="3"/>
    </row>
    <row r="315" ht="15.75" customHeight="1">
      <c r="I315" s="3"/>
      <c r="S315" s="3"/>
    </row>
    <row r="316" ht="15.75" customHeight="1">
      <c r="I316" s="3"/>
      <c r="S316" s="3"/>
    </row>
    <row r="317" ht="15.75" customHeight="1">
      <c r="I317" s="3"/>
      <c r="S317" s="3"/>
    </row>
    <row r="318" ht="15.75" customHeight="1">
      <c r="I318" s="3"/>
      <c r="S318" s="3"/>
    </row>
    <row r="319" ht="15.75" customHeight="1">
      <c r="I319" s="3"/>
      <c r="S319" s="3"/>
    </row>
    <row r="320" ht="15.75" customHeight="1">
      <c r="I320" s="3"/>
      <c r="S320" s="3"/>
    </row>
    <row r="321" ht="15.75" customHeight="1">
      <c r="I321" s="3"/>
      <c r="S321" s="3"/>
    </row>
    <row r="322" ht="15.75" customHeight="1">
      <c r="I322" s="3"/>
      <c r="S322" s="3"/>
    </row>
    <row r="323" ht="15.75" customHeight="1">
      <c r="I323" s="3"/>
      <c r="S323" s="3"/>
    </row>
    <row r="324" ht="15.75" customHeight="1">
      <c r="I324" s="3"/>
      <c r="S324" s="3"/>
    </row>
    <row r="325" ht="15.75" customHeight="1">
      <c r="I325" s="3"/>
      <c r="S325" s="3"/>
    </row>
    <row r="326" ht="15.75" customHeight="1">
      <c r="I326" s="3"/>
      <c r="S326" s="3"/>
    </row>
    <row r="327" ht="15.75" customHeight="1">
      <c r="I327" s="3"/>
      <c r="S327" s="3"/>
    </row>
    <row r="328" ht="15.75" customHeight="1">
      <c r="I328" s="3"/>
      <c r="S328" s="3"/>
    </row>
    <row r="329" ht="15.75" customHeight="1">
      <c r="I329" s="3"/>
      <c r="S329" s="3"/>
    </row>
    <row r="330" ht="15.75" customHeight="1">
      <c r="I330" s="3"/>
      <c r="S330" s="3"/>
    </row>
    <row r="331" ht="15.75" customHeight="1">
      <c r="I331" s="3"/>
      <c r="S331" s="3"/>
    </row>
    <row r="332" ht="15.75" customHeight="1">
      <c r="I332" s="3"/>
      <c r="S332" s="3"/>
    </row>
    <row r="333" ht="15.75" customHeight="1">
      <c r="I333" s="3"/>
      <c r="S333" s="3"/>
    </row>
    <row r="334" ht="15.75" customHeight="1">
      <c r="I334" s="3"/>
      <c r="S334" s="3"/>
    </row>
    <row r="335" ht="15.75" customHeight="1">
      <c r="I335" s="3"/>
      <c r="S335" s="3"/>
    </row>
    <row r="336" ht="15.75" customHeight="1">
      <c r="I336" s="3"/>
      <c r="S336" s="3"/>
    </row>
    <row r="337" ht="15.75" customHeight="1">
      <c r="I337" s="3"/>
      <c r="S337" s="3"/>
    </row>
    <row r="338" ht="15.75" customHeight="1">
      <c r="I338" s="3"/>
      <c r="S338" s="3"/>
    </row>
    <row r="339" ht="15.75" customHeight="1">
      <c r="I339" s="3"/>
      <c r="S339" s="3"/>
    </row>
    <row r="340" ht="15.75" customHeight="1">
      <c r="I340" s="3"/>
      <c r="S340" s="3"/>
    </row>
    <row r="341" ht="15.75" customHeight="1">
      <c r="I341" s="3"/>
      <c r="S341" s="3"/>
    </row>
    <row r="342" ht="15.75" customHeight="1">
      <c r="I342" s="3"/>
      <c r="S342" s="3"/>
    </row>
    <row r="343" ht="15.75" customHeight="1">
      <c r="I343" s="3"/>
      <c r="S343" s="3"/>
    </row>
    <row r="344" ht="15.75" customHeight="1">
      <c r="I344" s="3"/>
      <c r="S344" s="3"/>
    </row>
    <row r="345" ht="15.75" customHeight="1">
      <c r="I345" s="3"/>
      <c r="S345" s="3"/>
    </row>
    <row r="346" ht="15.75" customHeight="1">
      <c r="I346" s="3"/>
      <c r="S346" s="3"/>
    </row>
    <row r="347" ht="15.75" customHeight="1">
      <c r="I347" s="3"/>
      <c r="S347" s="3"/>
    </row>
    <row r="348" ht="15.75" customHeight="1">
      <c r="I348" s="3"/>
      <c r="S348" s="3"/>
    </row>
    <row r="349" ht="15.75" customHeight="1">
      <c r="I349" s="3"/>
      <c r="S349" s="3"/>
    </row>
    <row r="350" ht="15.75" customHeight="1">
      <c r="I350" s="3"/>
      <c r="S350" s="3"/>
    </row>
    <row r="351" ht="15.75" customHeight="1">
      <c r="I351" s="3"/>
      <c r="S351" s="3"/>
    </row>
    <row r="352" ht="15.75" customHeight="1">
      <c r="I352" s="3"/>
      <c r="S352" s="3"/>
    </row>
    <row r="353" ht="15.75" customHeight="1">
      <c r="I353" s="3"/>
      <c r="S353" s="3"/>
    </row>
    <row r="354" ht="15.75" customHeight="1">
      <c r="I354" s="3"/>
      <c r="S354" s="3"/>
    </row>
    <row r="355" ht="15.75" customHeight="1">
      <c r="I355" s="3"/>
      <c r="S355" s="3"/>
    </row>
    <row r="356" ht="15.75" customHeight="1">
      <c r="I356" s="3"/>
      <c r="S356" s="3"/>
    </row>
    <row r="357" ht="15.75" customHeight="1">
      <c r="I357" s="3"/>
      <c r="S357" s="3"/>
    </row>
    <row r="358" ht="15.75" customHeight="1">
      <c r="I358" s="3"/>
      <c r="S358" s="3"/>
    </row>
    <row r="359" ht="15.75" customHeight="1">
      <c r="I359" s="3"/>
      <c r="S359" s="3"/>
    </row>
    <row r="360" ht="15.75" customHeight="1">
      <c r="I360" s="3"/>
      <c r="S360" s="3"/>
    </row>
    <row r="361" ht="15.75" customHeight="1">
      <c r="I361" s="3"/>
      <c r="S361" s="3"/>
    </row>
    <row r="362" ht="15.75" customHeight="1">
      <c r="I362" s="3"/>
      <c r="S362" s="3"/>
    </row>
    <row r="363" ht="15.75" customHeight="1">
      <c r="I363" s="3"/>
      <c r="S363" s="3"/>
    </row>
    <row r="364" ht="15.75" customHeight="1">
      <c r="I364" s="3"/>
      <c r="S364" s="3"/>
    </row>
    <row r="365" ht="15.75" customHeight="1">
      <c r="I365" s="3"/>
      <c r="S365" s="3"/>
    </row>
    <row r="366" ht="15.75" customHeight="1">
      <c r="I366" s="3"/>
      <c r="S366" s="3"/>
    </row>
    <row r="367" ht="15.75" customHeight="1">
      <c r="I367" s="3"/>
      <c r="S367" s="3"/>
    </row>
    <row r="368" ht="15.75" customHeight="1">
      <c r="I368" s="3"/>
      <c r="S368" s="3"/>
    </row>
    <row r="369" ht="15.75" customHeight="1">
      <c r="I369" s="3"/>
      <c r="S369" s="3"/>
    </row>
    <row r="370" ht="15.75" customHeight="1">
      <c r="I370" s="3"/>
      <c r="S370" s="3"/>
    </row>
    <row r="371" ht="15.75" customHeight="1">
      <c r="I371" s="3"/>
      <c r="S371" s="3"/>
    </row>
    <row r="372" ht="15.75" customHeight="1">
      <c r="I372" s="3"/>
      <c r="S372" s="3"/>
    </row>
    <row r="373" ht="15.75" customHeight="1">
      <c r="I373" s="3"/>
      <c r="S373" s="3"/>
    </row>
    <row r="374" ht="15.75" customHeight="1">
      <c r="I374" s="3"/>
      <c r="S374" s="3"/>
    </row>
    <row r="375" ht="15.75" customHeight="1">
      <c r="I375" s="3"/>
      <c r="S375" s="3"/>
    </row>
    <row r="376" ht="15.75" customHeight="1">
      <c r="I376" s="3"/>
      <c r="S376" s="3"/>
    </row>
    <row r="377" ht="15.75" customHeight="1">
      <c r="I377" s="3"/>
      <c r="S377" s="3"/>
    </row>
    <row r="378" ht="15.75" customHeight="1">
      <c r="I378" s="3"/>
      <c r="S378" s="3"/>
    </row>
    <row r="379" ht="15.75" customHeight="1">
      <c r="I379" s="3"/>
      <c r="S379" s="3"/>
    </row>
    <row r="380" ht="15.75" customHeight="1">
      <c r="I380" s="3"/>
      <c r="S380" s="3"/>
    </row>
    <row r="381" ht="15.75" customHeight="1">
      <c r="I381" s="3"/>
      <c r="S381" s="3"/>
    </row>
    <row r="382" ht="15.75" customHeight="1">
      <c r="I382" s="3"/>
      <c r="S382" s="3"/>
    </row>
    <row r="383" ht="15.75" customHeight="1">
      <c r="I383" s="3"/>
      <c r="S383" s="3"/>
    </row>
    <row r="384" ht="15.75" customHeight="1">
      <c r="I384" s="3"/>
      <c r="S384" s="3"/>
    </row>
    <row r="385" ht="15.75" customHeight="1">
      <c r="I385" s="3"/>
      <c r="S385" s="3"/>
    </row>
    <row r="386" ht="15.75" customHeight="1">
      <c r="I386" s="3"/>
      <c r="S386" s="3"/>
    </row>
    <row r="387" ht="15.75" customHeight="1">
      <c r="I387" s="3"/>
      <c r="S387" s="3"/>
    </row>
    <row r="388" ht="15.75" customHeight="1">
      <c r="I388" s="3"/>
      <c r="S388" s="3"/>
    </row>
    <row r="389" ht="15.75" customHeight="1">
      <c r="I389" s="3"/>
      <c r="S389" s="3"/>
    </row>
    <row r="390" ht="15.75" customHeight="1">
      <c r="I390" s="3"/>
      <c r="S390" s="3"/>
    </row>
    <row r="391" ht="15.75" customHeight="1">
      <c r="I391" s="3"/>
      <c r="S391" s="3"/>
    </row>
    <row r="392" ht="15.75" customHeight="1">
      <c r="I392" s="3"/>
      <c r="S392" s="3"/>
    </row>
    <row r="393" ht="15.75" customHeight="1">
      <c r="I393" s="3"/>
      <c r="S393" s="3"/>
    </row>
    <row r="394" ht="15.75" customHeight="1">
      <c r="I394" s="3"/>
      <c r="S394" s="3"/>
    </row>
    <row r="395" ht="15.75" customHeight="1">
      <c r="I395" s="3"/>
      <c r="S395" s="3"/>
    </row>
    <row r="396" ht="15.75" customHeight="1">
      <c r="I396" s="3"/>
      <c r="S396" s="3"/>
    </row>
    <row r="397" ht="15.75" customHeight="1">
      <c r="I397" s="3"/>
      <c r="S397" s="3"/>
    </row>
    <row r="398" ht="15.75" customHeight="1">
      <c r="I398" s="3"/>
      <c r="S398" s="3"/>
    </row>
    <row r="399" ht="15.75" customHeight="1">
      <c r="I399" s="3"/>
      <c r="S399" s="3"/>
    </row>
    <row r="400" ht="15.75" customHeight="1">
      <c r="I400" s="3"/>
      <c r="S400" s="3"/>
    </row>
    <row r="401" ht="15.75" customHeight="1">
      <c r="I401" s="3"/>
      <c r="S401" s="3"/>
    </row>
    <row r="402" ht="15.75" customHeight="1">
      <c r="I402" s="3"/>
      <c r="S402" s="3"/>
    </row>
    <row r="403" ht="15.75" customHeight="1">
      <c r="I403" s="3"/>
      <c r="S403" s="3"/>
    </row>
    <row r="404" ht="15.75" customHeight="1">
      <c r="I404" s="3"/>
      <c r="S404" s="3"/>
    </row>
    <row r="405" ht="15.75" customHeight="1">
      <c r="I405" s="3"/>
      <c r="S405" s="3"/>
    </row>
    <row r="406" ht="15.75" customHeight="1">
      <c r="I406" s="3"/>
      <c r="S406" s="3"/>
    </row>
    <row r="407" ht="15.75" customHeight="1">
      <c r="I407" s="3"/>
      <c r="S407" s="3"/>
    </row>
    <row r="408" ht="15.75" customHeight="1">
      <c r="I408" s="3"/>
      <c r="S408" s="3"/>
    </row>
    <row r="409" ht="15.75" customHeight="1">
      <c r="I409" s="3"/>
      <c r="S409" s="3"/>
    </row>
    <row r="410" ht="15.75" customHeight="1">
      <c r="I410" s="3"/>
      <c r="S410" s="3"/>
    </row>
    <row r="411" ht="15.75" customHeight="1">
      <c r="I411" s="3"/>
      <c r="S411" s="3"/>
    </row>
    <row r="412" ht="15.75" customHeight="1">
      <c r="I412" s="3"/>
      <c r="S412" s="3"/>
    </row>
    <row r="413" ht="15.75" customHeight="1">
      <c r="I413" s="3"/>
      <c r="S413" s="3"/>
    </row>
    <row r="414" ht="15.75" customHeight="1">
      <c r="I414" s="3"/>
      <c r="S414" s="3"/>
    </row>
    <row r="415" ht="15.75" customHeight="1">
      <c r="I415" s="3"/>
      <c r="S415" s="3"/>
    </row>
    <row r="416" ht="15.75" customHeight="1">
      <c r="I416" s="3"/>
      <c r="S416" s="3"/>
    </row>
    <row r="417" ht="15.75" customHeight="1">
      <c r="I417" s="3"/>
      <c r="S417" s="3"/>
    </row>
    <row r="418" ht="15.75" customHeight="1">
      <c r="I418" s="3"/>
      <c r="S418" s="3"/>
    </row>
    <row r="419" ht="15.75" customHeight="1">
      <c r="I419" s="3"/>
      <c r="S419" s="3"/>
    </row>
    <row r="420" ht="15.75" customHeight="1">
      <c r="I420" s="3"/>
      <c r="S420" s="3"/>
    </row>
    <row r="421" ht="15.75" customHeight="1">
      <c r="I421" s="3"/>
      <c r="S421" s="3"/>
    </row>
    <row r="422" ht="15.75" customHeight="1">
      <c r="I422" s="3"/>
      <c r="S422" s="3"/>
    </row>
    <row r="423" ht="15.75" customHeight="1">
      <c r="I423" s="3"/>
      <c r="S423" s="3"/>
    </row>
    <row r="424" ht="15.75" customHeight="1">
      <c r="I424" s="3"/>
      <c r="S424" s="3"/>
    </row>
    <row r="425" ht="15.75" customHeight="1">
      <c r="I425" s="3"/>
      <c r="S425" s="3"/>
    </row>
    <row r="426" ht="15.75" customHeight="1">
      <c r="I426" s="3"/>
      <c r="S426" s="3"/>
    </row>
    <row r="427" ht="15.75" customHeight="1">
      <c r="I427" s="3"/>
      <c r="S427" s="3"/>
    </row>
    <row r="428" ht="15.75" customHeight="1">
      <c r="I428" s="3"/>
      <c r="S428" s="3"/>
    </row>
    <row r="429" ht="15.75" customHeight="1">
      <c r="I429" s="3"/>
      <c r="S429" s="3"/>
    </row>
    <row r="430" ht="15.75" customHeight="1">
      <c r="I430" s="3"/>
      <c r="S430" s="3"/>
    </row>
    <row r="431" ht="15.75" customHeight="1">
      <c r="I431" s="3"/>
      <c r="S431" s="3"/>
    </row>
    <row r="432" ht="15.75" customHeight="1">
      <c r="I432" s="3"/>
      <c r="S432" s="3"/>
    </row>
    <row r="433" ht="15.75" customHeight="1">
      <c r="I433" s="3"/>
      <c r="S433" s="3"/>
    </row>
    <row r="434" ht="15.75" customHeight="1">
      <c r="I434" s="3"/>
      <c r="S434" s="3"/>
    </row>
    <row r="435" ht="15.75" customHeight="1">
      <c r="I435" s="3"/>
      <c r="S435" s="3"/>
    </row>
    <row r="436" ht="15.75" customHeight="1">
      <c r="I436" s="3"/>
      <c r="S436" s="3"/>
    </row>
    <row r="437" ht="15.75" customHeight="1">
      <c r="I437" s="3"/>
      <c r="S437" s="3"/>
    </row>
    <row r="438" ht="15.75" customHeight="1">
      <c r="I438" s="3"/>
      <c r="S438" s="3"/>
    </row>
    <row r="439" ht="15.75" customHeight="1">
      <c r="I439" s="3"/>
      <c r="S439" s="3"/>
    </row>
    <row r="440" ht="15.75" customHeight="1">
      <c r="I440" s="3"/>
      <c r="S440" s="3"/>
    </row>
    <row r="441" ht="15.75" customHeight="1">
      <c r="I441" s="3"/>
      <c r="S441" s="3"/>
    </row>
    <row r="442" ht="15.75" customHeight="1">
      <c r="I442" s="3"/>
      <c r="S442" s="3"/>
    </row>
    <row r="443" ht="15.75" customHeight="1">
      <c r="I443" s="3"/>
      <c r="S443" s="3"/>
    </row>
    <row r="444" ht="15.75" customHeight="1">
      <c r="I444" s="3"/>
      <c r="S444" s="3"/>
    </row>
    <row r="445" ht="15.75" customHeight="1">
      <c r="I445" s="3"/>
      <c r="S445" s="3"/>
    </row>
    <row r="446" ht="15.75" customHeight="1">
      <c r="I446" s="3"/>
      <c r="S446" s="3"/>
    </row>
    <row r="447" ht="15.75" customHeight="1">
      <c r="I447" s="3"/>
      <c r="S447" s="3"/>
    </row>
    <row r="448" ht="15.75" customHeight="1">
      <c r="I448" s="3"/>
      <c r="S448" s="3"/>
    </row>
    <row r="449" ht="15.75" customHeight="1">
      <c r="I449" s="3"/>
      <c r="S449" s="3"/>
    </row>
    <row r="450" ht="15.75" customHeight="1">
      <c r="I450" s="3"/>
      <c r="S450" s="3"/>
    </row>
    <row r="451" ht="15.75" customHeight="1">
      <c r="I451" s="3"/>
      <c r="S451" s="3"/>
    </row>
    <row r="452" ht="15.75" customHeight="1">
      <c r="I452" s="3"/>
      <c r="S452" s="3"/>
    </row>
    <row r="453" ht="15.75" customHeight="1">
      <c r="I453" s="3"/>
      <c r="S453" s="3"/>
    </row>
    <row r="454" ht="15.75" customHeight="1">
      <c r="I454" s="3"/>
      <c r="S454" s="3"/>
    </row>
    <row r="455" ht="15.75" customHeight="1">
      <c r="I455" s="3"/>
      <c r="S455" s="3"/>
    </row>
    <row r="456" ht="15.75" customHeight="1">
      <c r="I456" s="3"/>
      <c r="S456" s="3"/>
    </row>
    <row r="457" ht="15.75" customHeight="1">
      <c r="I457" s="3"/>
      <c r="S457" s="3"/>
    </row>
    <row r="458" ht="15.75" customHeight="1">
      <c r="I458" s="3"/>
      <c r="S458" s="3"/>
    </row>
    <row r="459" ht="15.75" customHeight="1">
      <c r="I459" s="3"/>
      <c r="S459" s="3"/>
    </row>
    <row r="460" ht="15.75" customHeight="1">
      <c r="I460" s="3"/>
      <c r="S460" s="3"/>
    </row>
    <row r="461" ht="15.75" customHeight="1">
      <c r="I461" s="3"/>
      <c r="S461" s="3"/>
    </row>
    <row r="462" ht="15.75" customHeight="1">
      <c r="I462" s="3"/>
      <c r="S462" s="3"/>
    </row>
    <row r="463" ht="15.75" customHeight="1">
      <c r="I463" s="3"/>
      <c r="S463" s="3"/>
    </row>
    <row r="464" ht="15.75" customHeight="1">
      <c r="I464" s="3"/>
      <c r="S464" s="3"/>
    </row>
    <row r="465" ht="15.75" customHeight="1">
      <c r="I465" s="3"/>
      <c r="S465" s="3"/>
    </row>
    <row r="466" ht="15.75" customHeight="1">
      <c r="I466" s="3"/>
      <c r="S466" s="3"/>
    </row>
    <row r="467" ht="15.75" customHeight="1">
      <c r="I467" s="3"/>
      <c r="S467" s="3"/>
    </row>
    <row r="468" ht="15.75" customHeight="1">
      <c r="I468" s="3"/>
      <c r="S468" s="3"/>
    </row>
    <row r="469" ht="15.75" customHeight="1">
      <c r="I469" s="3"/>
      <c r="S469" s="3"/>
    </row>
    <row r="470" ht="15.75" customHeight="1">
      <c r="I470" s="3"/>
      <c r="S470" s="3"/>
    </row>
    <row r="471" ht="15.75" customHeight="1">
      <c r="I471" s="3"/>
      <c r="S471" s="3"/>
    </row>
    <row r="472" ht="15.75" customHeight="1">
      <c r="I472" s="3"/>
      <c r="S472" s="3"/>
    </row>
    <row r="473" ht="15.75" customHeight="1">
      <c r="I473" s="3"/>
      <c r="S473" s="3"/>
    </row>
    <row r="474" ht="15.75" customHeight="1">
      <c r="I474" s="3"/>
      <c r="S474" s="3"/>
    </row>
    <row r="475" ht="15.75" customHeight="1">
      <c r="I475" s="3"/>
      <c r="S475" s="3"/>
    </row>
    <row r="476" ht="15.75" customHeight="1">
      <c r="I476" s="3"/>
      <c r="S476" s="3"/>
    </row>
    <row r="477" ht="15.75" customHeight="1">
      <c r="I477" s="3"/>
      <c r="S477" s="3"/>
    </row>
    <row r="478" ht="15.75" customHeight="1">
      <c r="I478" s="3"/>
      <c r="S478" s="3"/>
    </row>
    <row r="479" ht="15.75" customHeight="1">
      <c r="I479" s="3"/>
      <c r="S479" s="3"/>
    </row>
    <row r="480" ht="15.75" customHeight="1">
      <c r="I480" s="3"/>
      <c r="S480" s="3"/>
    </row>
    <row r="481" ht="15.75" customHeight="1">
      <c r="I481" s="3"/>
      <c r="S481" s="3"/>
    </row>
    <row r="482" ht="15.75" customHeight="1">
      <c r="I482" s="3"/>
      <c r="S482" s="3"/>
    </row>
    <row r="483" ht="15.75" customHeight="1">
      <c r="I483" s="3"/>
      <c r="S483" s="3"/>
    </row>
    <row r="484" ht="15.75" customHeight="1">
      <c r="I484" s="3"/>
      <c r="S484" s="3"/>
    </row>
    <row r="485" ht="15.75" customHeight="1">
      <c r="I485" s="3"/>
      <c r="S485" s="3"/>
    </row>
    <row r="486" ht="15.75" customHeight="1">
      <c r="I486" s="3"/>
      <c r="S486" s="3"/>
    </row>
    <row r="487" ht="15.75" customHeight="1">
      <c r="I487" s="3"/>
      <c r="S487" s="3"/>
    </row>
    <row r="488" ht="15.75" customHeight="1">
      <c r="I488" s="3"/>
      <c r="S488" s="3"/>
    </row>
    <row r="489" ht="15.75" customHeight="1">
      <c r="I489" s="3"/>
      <c r="S489" s="3"/>
    </row>
    <row r="490" ht="15.75" customHeight="1">
      <c r="I490" s="3"/>
      <c r="S490" s="3"/>
    </row>
    <row r="491" ht="15.75" customHeight="1">
      <c r="I491" s="3"/>
      <c r="S491" s="3"/>
    </row>
    <row r="492" ht="15.75" customHeight="1">
      <c r="I492" s="3"/>
      <c r="S492" s="3"/>
    </row>
    <row r="493" ht="15.75" customHeight="1">
      <c r="I493" s="3"/>
      <c r="S493" s="3"/>
    </row>
    <row r="494" ht="15.75" customHeight="1">
      <c r="I494" s="3"/>
      <c r="S494" s="3"/>
    </row>
    <row r="495" ht="15.75" customHeight="1">
      <c r="I495" s="3"/>
      <c r="S495" s="3"/>
    </row>
    <row r="496" ht="15.75" customHeight="1">
      <c r="I496" s="3"/>
      <c r="S496" s="3"/>
    </row>
    <row r="497" ht="15.75" customHeight="1">
      <c r="I497" s="3"/>
      <c r="S497" s="3"/>
    </row>
    <row r="498" ht="15.75" customHeight="1">
      <c r="I498" s="3"/>
      <c r="S498" s="3"/>
    </row>
    <row r="499" ht="15.75" customHeight="1">
      <c r="I499" s="3"/>
      <c r="S499" s="3"/>
    </row>
    <row r="500" ht="15.75" customHeight="1">
      <c r="I500" s="3"/>
      <c r="S500" s="3"/>
    </row>
    <row r="501" ht="15.75" customHeight="1">
      <c r="I501" s="3"/>
      <c r="S501" s="3"/>
    </row>
    <row r="502" ht="15.75" customHeight="1">
      <c r="I502" s="3"/>
      <c r="S502" s="3"/>
    </row>
    <row r="503" ht="15.75" customHeight="1">
      <c r="I503" s="3"/>
      <c r="S503" s="3"/>
    </row>
    <row r="504" ht="15.75" customHeight="1">
      <c r="I504" s="3"/>
      <c r="S504" s="3"/>
    </row>
    <row r="505" ht="15.75" customHeight="1">
      <c r="I505" s="3"/>
      <c r="S505" s="3"/>
    </row>
    <row r="506" ht="15.75" customHeight="1">
      <c r="I506" s="3"/>
      <c r="S506" s="3"/>
    </row>
    <row r="507" ht="15.75" customHeight="1">
      <c r="I507" s="3"/>
      <c r="S507" s="3"/>
    </row>
    <row r="508" ht="15.75" customHeight="1">
      <c r="I508" s="3"/>
      <c r="S508" s="3"/>
    </row>
    <row r="509" ht="15.75" customHeight="1">
      <c r="I509" s="3"/>
      <c r="S509" s="3"/>
    </row>
    <row r="510" ht="15.75" customHeight="1">
      <c r="I510" s="3"/>
      <c r="S510" s="3"/>
    </row>
    <row r="511" ht="15.75" customHeight="1">
      <c r="I511" s="3"/>
      <c r="S511" s="3"/>
    </row>
    <row r="512" ht="15.75" customHeight="1">
      <c r="I512" s="3"/>
      <c r="S512" s="3"/>
    </row>
    <row r="513" ht="15.75" customHeight="1">
      <c r="I513" s="3"/>
      <c r="S513" s="3"/>
    </row>
    <row r="514" ht="15.75" customHeight="1">
      <c r="I514" s="3"/>
      <c r="S514" s="3"/>
    </row>
    <row r="515" ht="15.75" customHeight="1">
      <c r="I515" s="3"/>
      <c r="S515" s="3"/>
    </row>
    <row r="516" ht="15.75" customHeight="1">
      <c r="I516" s="3"/>
      <c r="S516" s="3"/>
    </row>
    <row r="517" ht="15.75" customHeight="1">
      <c r="I517" s="3"/>
      <c r="S517" s="3"/>
    </row>
    <row r="518" ht="15.75" customHeight="1">
      <c r="I518" s="3"/>
      <c r="S518" s="3"/>
    </row>
    <row r="519" ht="15.75" customHeight="1">
      <c r="I519" s="3"/>
      <c r="S519" s="3"/>
    </row>
    <row r="520" ht="15.75" customHeight="1">
      <c r="I520" s="3"/>
      <c r="S520" s="3"/>
    </row>
    <row r="521" ht="15.75" customHeight="1">
      <c r="I521" s="3"/>
      <c r="S521" s="3"/>
    </row>
    <row r="522" ht="15.75" customHeight="1">
      <c r="I522" s="3"/>
      <c r="S522" s="3"/>
    </row>
    <row r="523" ht="15.75" customHeight="1">
      <c r="I523" s="3"/>
      <c r="S523" s="3"/>
    </row>
    <row r="524" ht="15.75" customHeight="1">
      <c r="I524" s="3"/>
      <c r="S524" s="3"/>
    </row>
    <row r="525" ht="15.75" customHeight="1">
      <c r="I525" s="3"/>
      <c r="S525" s="3"/>
    </row>
    <row r="526" ht="15.75" customHeight="1">
      <c r="I526" s="3"/>
      <c r="S526" s="3"/>
    </row>
    <row r="527" ht="15.75" customHeight="1">
      <c r="I527" s="3"/>
      <c r="S527" s="3"/>
    </row>
    <row r="528" ht="15.75" customHeight="1">
      <c r="I528" s="3"/>
      <c r="S528" s="3"/>
    </row>
    <row r="529" ht="15.75" customHeight="1">
      <c r="I529" s="3"/>
      <c r="S529" s="3"/>
    </row>
    <row r="530" ht="15.75" customHeight="1">
      <c r="I530" s="3"/>
      <c r="S530" s="3"/>
    </row>
    <row r="531" ht="15.75" customHeight="1">
      <c r="I531" s="3"/>
      <c r="S531" s="3"/>
    </row>
    <row r="532" ht="15.75" customHeight="1">
      <c r="I532" s="3"/>
      <c r="S532" s="3"/>
    </row>
    <row r="533" ht="15.75" customHeight="1">
      <c r="I533" s="3"/>
      <c r="S533" s="3"/>
    </row>
    <row r="534" ht="15.75" customHeight="1">
      <c r="I534" s="3"/>
      <c r="S534" s="3"/>
    </row>
    <row r="535" ht="15.75" customHeight="1">
      <c r="I535" s="3"/>
      <c r="S535" s="3"/>
    </row>
    <row r="536" ht="15.75" customHeight="1">
      <c r="I536" s="3"/>
      <c r="S536" s="3"/>
    </row>
    <row r="537" ht="15.75" customHeight="1">
      <c r="I537" s="3"/>
      <c r="S537" s="3"/>
    </row>
    <row r="538" ht="15.75" customHeight="1">
      <c r="I538" s="3"/>
      <c r="S538" s="3"/>
    </row>
    <row r="539" ht="15.75" customHeight="1">
      <c r="I539" s="3"/>
      <c r="S539" s="3"/>
    </row>
    <row r="540" ht="15.75" customHeight="1">
      <c r="I540" s="3"/>
      <c r="S540" s="3"/>
    </row>
    <row r="541" ht="15.75" customHeight="1">
      <c r="I541" s="3"/>
      <c r="S541" s="3"/>
    </row>
    <row r="542" ht="15.75" customHeight="1">
      <c r="I542" s="3"/>
      <c r="S542" s="3"/>
    </row>
    <row r="543" ht="15.75" customHeight="1">
      <c r="I543" s="3"/>
      <c r="S543" s="3"/>
    </row>
    <row r="544" ht="15.75" customHeight="1">
      <c r="I544" s="3"/>
      <c r="S544" s="3"/>
    </row>
    <row r="545" ht="15.75" customHeight="1">
      <c r="I545" s="3"/>
      <c r="S545" s="3"/>
    </row>
    <row r="546" ht="15.75" customHeight="1">
      <c r="I546" s="3"/>
      <c r="S546" s="3"/>
    </row>
    <row r="547" ht="15.75" customHeight="1">
      <c r="I547" s="3"/>
      <c r="S547" s="3"/>
    </row>
    <row r="548" ht="15.75" customHeight="1">
      <c r="I548" s="3"/>
      <c r="S548" s="3"/>
    </row>
    <row r="549" ht="15.75" customHeight="1">
      <c r="I549" s="3"/>
      <c r="S549" s="3"/>
    </row>
    <row r="550" ht="15.75" customHeight="1">
      <c r="I550" s="3"/>
      <c r="S550" s="3"/>
    </row>
    <row r="551" ht="15.75" customHeight="1">
      <c r="I551" s="3"/>
      <c r="S551" s="3"/>
    </row>
    <row r="552" ht="15.75" customHeight="1">
      <c r="I552" s="3"/>
      <c r="S552" s="3"/>
    </row>
    <row r="553" ht="15.75" customHeight="1">
      <c r="I553" s="3"/>
      <c r="S553" s="3"/>
    </row>
    <row r="554" ht="15.75" customHeight="1">
      <c r="I554" s="3"/>
      <c r="S554" s="3"/>
    </row>
    <row r="555" ht="15.75" customHeight="1">
      <c r="I555" s="3"/>
      <c r="S555" s="3"/>
    </row>
    <row r="556" ht="15.75" customHeight="1">
      <c r="I556" s="3"/>
      <c r="S556" s="3"/>
    </row>
    <row r="557" ht="15.75" customHeight="1">
      <c r="I557" s="3"/>
      <c r="S557" s="3"/>
    </row>
    <row r="558" ht="15.75" customHeight="1">
      <c r="I558" s="3"/>
      <c r="S558" s="3"/>
    </row>
    <row r="559" ht="15.75" customHeight="1">
      <c r="I559" s="3"/>
      <c r="S559" s="3"/>
    </row>
    <row r="560" ht="15.75" customHeight="1">
      <c r="I560" s="3"/>
      <c r="S560" s="3"/>
    </row>
    <row r="561" ht="15.75" customHeight="1">
      <c r="I561" s="3"/>
      <c r="S561" s="3"/>
    </row>
    <row r="562" ht="15.75" customHeight="1">
      <c r="I562" s="3"/>
      <c r="S562" s="3"/>
    </row>
    <row r="563" ht="15.75" customHeight="1">
      <c r="I563" s="3"/>
      <c r="S563" s="3"/>
    </row>
    <row r="564" ht="15.75" customHeight="1">
      <c r="I564" s="3"/>
      <c r="S564" s="3"/>
    </row>
    <row r="565" ht="15.75" customHeight="1">
      <c r="I565" s="3"/>
      <c r="S565" s="3"/>
    </row>
    <row r="566" ht="15.75" customHeight="1">
      <c r="I566" s="3"/>
      <c r="S566" s="3"/>
    </row>
    <row r="567" ht="15.75" customHeight="1">
      <c r="I567" s="3"/>
      <c r="S567" s="3"/>
    </row>
    <row r="568" ht="15.75" customHeight="1">
      <c r="I568" s="3"/>
      <c r="S568" s="3"/>
    </row>
    <row r="569" ht="15.75" customHeight="1">
      <c r="I569" s="3"/>
      <c r="S569" s="3"/>
    </row>
    <row r="570" ht="15.75" customHeight="1">
      <c r="I570" s="3"/>
      <c r="S570" s="3"/>
    </row>
    <row r="571" ht="15.75" customHeight="1">
      <c r="I571" s="3"/>
      <c r="S571" s="3"/>
    </row>
    <row r="572" ht="15.75" customHeight="1">
      <c r="I572" s="3"/>
      <c r="S572" s="3"/>
    </row>
    <row r="573" ht="15.75" customHeight="1">
      <c r="I573" s="3"/>
      <c r="S573" s="3"/>
    </row>
    <row r="574" ht="15.75" customHeight="1">
      <c r="I574" s="3"/>
      <c r="S574" s="3"/>
    </row>
    <row r="575" ht="15.75" customHeight="1">
      <c r="I575" s="3"/>
      <c r="S575" s="3"/>
    </row>
    <row r="576" ht="15.75" customHeight="1">
      <c r="I576" s="3"/>
      <c r="S576" s="3"/>
    </row>
    <row r="577" ht="15.75" customHeight="1">
      <c r="I577" s="3"/>
      <c r="S577" s="3"/>
    </row>
    <row r="578" ht="15.75" customHeight="1">
      <c r="I578" s="3"/>
      <c r="S578" s="3"/>
    </row>
    <row r="579" ht="15.75" customHeight="1">
      <c r="I579" s="3"/>
      <c r="S579" s="3"/>
    </row>
    <row r="580" ht="15.75" customHeight="1">
      <c r="I580" s="3"/>
      <c r="S580" s="3"/>
    </row>
    <row r="581" ht="15.75" customHeight="1">
      <c r="I581" s="3"/>
      <c r="S581" s="3"/>
    </row>
    <row r="582" ht="15.75" customHeight="1">
      <c r="I582" s="3"/>
      <c r="S582" s="3"/>
    </row>
    <row r="583" ht="15.75" customHeight="1">
      <c r="I583" s="3"/>
      <c r="S583" s="3"/>
    </row>
    <row r="584" ht="15.75" customHeight="1">
      <c r="I584" s="3"/>
      <c r="S584" s="3"/>
    </row>
    <row r="585" ht="15.75" customHeight="1">
      <c r="I585" s="3"/>
      <c r="S585" s="3"/>
    </row>
    <row r="586" ht="15.75" customHeight="1">
      <c r="I586" s="3"/>
      <c r="S586" s="3"/>
    </row>
    <row r="587" ht="15.75" customHeight="1">
      <c r="I587" s="3"/>
      <c r="S587" s="3"/>
    </row>
    <row r="588" ht="15.75" customHeight="1">
      <c r="I588" s="3"/>
      <c r="S588" s="3"/>
    </row>
    <row r="589" ht="15.75" customHeight="1">
      <c r="I589" s="3"/>
      <c r="S589" s="3"/>
    </row>
    <row r="590" ht="15.75" customHeight="1">
      <c r="I590" s="3"/>
      <c r="S590" s="3"/>
    </row>
    <row r="591" ht="15.75" customHeight="1">
      <c r="I591" s="3"/>
      <c r="S591" s="3"/>
    </row>
    <row r="592" ht="15.75" customHeight="1">
      <c r="I592" s="3"/>
      <c r="S592" s="3"/>
    </row>
    <row r="593" ht="15.75" customHeight="1">
      <c r="I593" s="3"/>
      <c r="S593" s="3"/>
    </row>
    <row r="594" ht="15.75" customHeight="1">
      <c r="I594" s="3"/>
      <c r="S594" s="3"/>
    </row>
    <row r="595" ht="15.75" customHeight="1">
      <c r="I595" s="3"/>
      <c r="S595" s="3"/>
    </row>
    <row r="596" ht="15.75" customHeight="1">
      <c r="I596" s="3"/>
      <c r="S596" s="3"/>
    </row>
    <row r="597" ht="15.75" customHeight="1">
      <c r="I597" s="3"/>
      <c r="S597" s="3"/>
    </row>
    <row r="598" ht="15.75" customHeight="1">
      <c r="I598" s="3"/>
      <c r="S598" s="3"/>
    </row>
    <row r="599" ht="15.75" customHeight="1">
      <c r="I599" s="3"/>
      <c r="S599" s="3"/>
    </row>
    <row r="600" ht="15.75" customHeight="1">
      <c r="I600" s="3"/>
      <c r="S600" s="3"/>
    </row>
    <row r="601" ht="15.75" customHeight="1">
      <c r="I601" s="3"/>
      <c r="S601" s="3"/>
    </row>
    <row r="602" ht="15.75" customHeight="1">
      <c r="I602" s="3"/>
      <c r="S602" s="3"/>
    </row>
    <row r="603" ht="15.75" customHeight="1">
      <c r="I603" s="3"/>
      <c r="S603" s="3"/>
    </row>
    <row r="604" ht="15.75" customHeight="1">
      <c r="I604" s="3"/>
      <c r="S604" s="3"/>
    </row>
    <row r="605" ht="15.75" customHeight="1">
      <c r="I605" s="3"/>
      <c r="S605" s="3"/>
    </row>
    <row r="606" ht="15.75" customHeight="1">
      <c r="I606" s="3"/>
      <c r="S606" s="3"/>
    </row>
    <row r="607" ht="15.75" customHeight="1">
      <c r="I607" s="3"/>
      <c r="S607" s="3"/>
    </row>
    <row r="608" ht="15.75" customHeight="1">
      <c r="I608" s="3"/>
      <c r="S608" s="3"/>
    </row>
    <row r="609" ht="15.75" customHeight="1">
      <c r="I609" s="3"/>
      <c r="S609" s="3"/>
    </row>
    <row r="610" ht="15.75" customHeight="1">
      <c r="I610" s="3"/>
      <c r="S610" s="3"/>
    </row>
    <row r="611" ht="15.75" customHeight="1">
      <c r="I611" s="3"/>
      <c r="S611" s="3"/>
    </row>
    <row r="612" ht="15.75" customHeight="1">
      <c r="I612" s="3"/>
      <c r="S612" s="3"/>
    </row>
    <row r="613" ht="15.75" customHeight="1">
      <c r="I613" s="3"/>
      <c r="S613" s="3"/>
    </row>
    <row r="614" ht="15.75" customHeight="1">
      <c r="I614" s="3"/>
      <c r="S614" s="3"/>
    </row>
    <row r="615" ht="15.75" customHeight="1">
      <c r="I615" s="3"/>
      <c r="S615" s="3"/>
    </row>
    <row r="616" ht="15.75" customHeight="1">
      <c r="I616" s="3"/>
      <c r="S616" s="3"/>
    </row>
    <row r="617" ht="15.75" customHeight="1">
      <c r="I617" s="3"/>
      <c r="S617" s="3"/>
    </row>
    <row r="618" ht="15.75" customHeight="1">
      <c r="I618" s="3"/>
      <c r="S618" s="3"/>
    </row>
    <row r="619" ht="15.75" customHeight="1">
      <c r="I619" s="3"/>
      <c r="S619" s="3"/>
    </row>
    <row r="620" ht="15.75" customHeight="1">
      <c r="I620" s="3"/>
      <c r="S620" s="3"/>
    </row>
    <row r="621" ht="15.75" customHeight="1">
      <c r="I621" s="3"/>
      <c r="S621" s="3"/>
    </row>
    <row r="622" ht="15.75" customHeight="1">
      <c r="I622" s="3"/>
      <c r="S622" s="3"/>
    </row>
    <row r="623" ht="15.75" customHeight="1">
      <c r="I623" s="3"/>
      <c r="S623" s="3"/>
    </row>
    <row r="624" ht="15.75" customHeight="1">
      <c r="I624" s="3"/>
      <c r="S624" s="3"/>
    </row>
    <row r="625" ht="15.75" customHeight="1">
      <c r="I625" s="3"/>
      <c r="S625" s="3"/>
    </row>
    <row r="626" ht="15.75" customHeight="1">
      <c r="I626" s="3"/>
      <c r="S626" s="3"/>
    </row>
    <row r="627" ht="15.75" customHeight="1">
      <c r="I627" s="3"/>
      <c r="S627" s="3"/>
    </row>
    <row r="628" ht="15.75" customHeight="1">
      <c r="I628" s="3"/>
      <c r="S628" s="3"/>
    </row>
    <row r="629" ht="15.75" customHeight="1">
      <c r="I629" s="3"/>
      <c r="S629" s="3"/>
    </row>
    <row r="630" ht="15.75" customHeight="1">
      <c r="I630" s="3"/>
      <c r="S630" s="3"/>
    </row>
    <row r="631" ht="15.75" customHeight="1">
      <c r="I631" s="3"/>
      <c r="S631" s="3"/>
    </row>
    <row r="632" ht="15.75" customHeight="1">
      <c r="I632" s="3"/>
      <c r="S632" s="3"/>
    </row>
    <row r="633" ht="15.75" customHeight="1">
      <c r="I633" s="3"/>
      <c r="S633" s="3"/>
    </row>
    <row r="634" ht="15.75" customHeight="1">
      <c r="I634" s="3"/>
      <c r="S634" s="3"/>
    </row>
    <row r="635" ht="15.75" customHeight="1">
      <c r="I635" s="3"/>
      <c r="S635" s="3"/>
    </row>
    <row r="636" ht="15.75" customHeight="1">
      <c r="I636" s="3"/>
      <c r="S636" s="3"/>
    </row>
    <row r="637" ht="15.75" customHeight="1">
      <c r="I637" s="3"/>
      <c r="S637" s="3"/>
    </row>
    <row r="638" ht="15.75" customHeight="1">
      <c r="I638" s="3"/>
      <c r="S638" s="3"/>
    </row>
    <row r="639" ht="15.75" customHeight="1">
      <c r="I639" s="3"/>
      <c r="S639" s="3"/>
    </row>
    <row r="640" ht="15.75" customHeight="1">
      <c r="I640" s="3"/>
      <c r="S640" s="3"/>
    </row>
    <row r="641" ht="15.75" customHeight="1">
      <c r="I641" s="3"/>
      <c r="S641" s="3"/>
    </row>
    <row r="642" ht="15.75" customHeight="1">
      <c r="I642" s="3"/>
      <c r="S642" s="3"/>
    </row>
    <row r="643" ht="15.75" customHeight="1">
      <c r="I643" s="3"/>
      <c r="S643" s="3"/>
    </row>
    <row r="644" ht="15.75" customHeight="1">
      <c r="I644" s="3"/>
      <c r="S644" s="3"/>
    </row>
    <row r="645" ht="15.75" customHeight="1">
      <c r="I645" s="3"/>
      <c r="S645" s="3"/>
    </row>
    <row r="646" ht="15.75" customHeight="1">
      <c r="I646" s="3"/>
      <c r="S646" s="3"/>
    </row>
    <row r="647" ht="15.75" customHeight="1">
      <c r="I647" s="3"/>
      <c r="S647" s="3"/>
    </row>
    <row r="648" ht="15.75" customHeight="1">
      <c r="I648" s="3"/>
      <c r="S648" s="3"/>
    </row>
    <row r="649" ht="15.75" customHeight="1">
      <c r="I649" s="3"/>
      <c r="S649" s="3"/>
    </row>
    <row r="650" ht="15.75" customHeight="1">
      <c r="I650" s="3"/>
      <c r="S650" s="3"/>
    </row>
    <row r="651" ht="15.75" customHeight="1">
      <c r="I651" s="3"/>
      <c r="S651" s="3"/>
    </row>
    <row r="652" ht="15.75" customHeight="1">
      <c r="I652" s="3"/>
      <c r="S652" s="3"/>
    </row>
    <row r="653" ht="15.75" customHeight="1">
      <c r="I653" s="3"/>
      <c r="S653" s="3"/>
    </row>
    <row r="654" ht="15.75" customHeight="1">
      <c r="I654" s="3"/>
      <c r="S654" s="3"/>
    </row>
    <row r="655" ht="15.75" customHeight="1">
      <c r="I655" s="3"/>
      <c r="S655" s="3"/>
    </row>
    <row r="656" ht="15.75" customHeight="1">
      <c r="I656" s="3"/>
      <c r="S656" s="3"/>
    </row>
    <row r="657" ht="15.75" customHeight="1">
      <c r="I657" s="3"/>
      <c r="S657" s="3"/>
    </row>
    <row r="658" ht="15.75" customHeight="1">
      <c r="I658" s="3"/>
      <c r="S658" s="3"/>
    </row>
    <row r="659" ht="15.75" customHeight="1">
      <c r="I659" s="3"/>
      <c r="S659" s="3"/>
    </row>
    <row r="660" ht="15.75" customHeight="1">
      <c r="I660" s="3"/>
      <c r="S660" s="3"/>
    </row>
    <row r="661" ht="15.75" customHeight="1">
      <c r="I661" s="3"/>
      <c r="S661" s="3"/>
    </row>
    <row r="662" ht="15.75" customHeight="1">
      <c r="I662" s="3"/>
      <c r="S662" s="3"/>
    </row>
    <row r="663" ht="15.75" customHeight="1">
      <c r="I663" s="3"/>
      <c r="S663" s="3"/>
    </row>
    <row r="664" ht="15.75" customHeight="1">
      <c r="I664" s="3"/>
      <c r="S664" s="3"/>
    </row>
    <row r="665" ht="15.75" customHeight="1">
      <c r="I665" s="3"/>
      <c r="S665" s="3"/>
    </row>
    <row r="666" ht="15.75" customHeight="1">
      <c r="I666" s="3"/>
      <c r="S666" s="3"/>
    </row>
    <row r="667" ht="15.75" customHeight="1">
      <c r="I667" s="3"/>
      <c r="S667" s="3"/>
    </row>
    <row r="668" ht="15.75" customHeight="1">
      <c r="I668" s="3"/>
      <c r="S668" s="3"/>
    </row>
    <row r="669" ht="15.75" customHeight="1">
      <c r="I669" s="3"/>
      <c r="S669" s="3"/>
    </row>
    <row r="670" ht="15.75" customHeight="1">
      <c r="I670" s="3"/>
      <c r="S670" s="3"/>
    </row>
    <row r="671" ht="15.75" customHeight="1">
      <c r="I671" s="3"/>
      <c r="S671" s="3"/>
    </row>
    <row r="672" ht="15.75" customHeight="1">
      <c r="I672" s="3"/>
      <c r="S672" s="3"/>
    </row>
    <row r="673" ht="15.75" customHeight="1">
      <c r="I673" s="3"/>
      <c r="S673" s="3"/>
    </row>
    <row r="674" ht="15.75" customHeight="1">
      <c r="I674" s="3"/>
      <c r="S674" s="3"/>
    </row>
    <row r="675" ht="15.75" customHeight="1">
      <c r="I675" s="3"/>
      <c r="S675" s="3"/>
    </row>
    <row r="676" ht="15.75" customHeight="1">
      <c r="I676" s="3"/>
      <c r="S676" s="3"/>
    </row>
    <row r="677" ht="15.75" customHeight="1">
      <c r="I677" s="3"/>
      <c r="S677" s="3"/>
    </row>
    <row r="678" ht="15.75" customHeight="1">
      <c r="I678" s="3"/>
      <c r="S678" s="3"/>
    </row>
    <row r="679" ht="15.75" customHeight="1">
      <c r="I679" s="3"/>
      <c r="S679" s="3"/>
    </row>
    <row r="680" ht="15.75" customHeight="1">
      <c r="I680" s="3"/>
      <c r="S680" s="3"/>
    </row>
    <row r="681" ht="15.75" customHeight="1">
      <c r="I681" s="3"/>
      <c r="S681" s="3"/>
    </row>
    <row r="682" ht="15.75" customHeight="1">
      <c r="I682" s="3"/>
      <c r="S682" s="3"/>
    </row>
    <row r="683" ht="15.75" customHeight="1">
      <c r="I683" s="3"/>
      <c r="S683" s="3"/>
    </row>
    <row r="684" ht="15.75" customHeight="1">
      <c r="I684" s="3"/>
      <c r="S684" s="3"/>
    </row>
    <row r="685" ht="15.75" customHeight="1">
      <c r="I685" s="3"/>
      <c r="S685" s="3"/>
    </row>
    <row r="686" ht="15.75" customHeight="1">
      <c r="I686" s="3"/>
      <c r="S686" s="3"/>
    </row>
    <row r="687" ht="15.75" customHeight="1">
      <c r="I687" s="3"/>
      <c r="S687" s="3"/>
    </row>
    <row r="688" ht="15.75" customHeight="1">
      <c r="I688" s="3"/>
      <c r="S688" s="3"/>
    </row>
    <row r="689" ht="15.75" customHeight="1">
      <c r="I689" s="3"/>
      <c r="S689" s="3"/>
    </row>
    <row r="690" ht="15.75" customHeight="1">
      <c r="I690" s="3"/>
      <c r="S690" s="3"/>
    </row>
    <row r="691" ht="15.75" customHeight="1">
      <c r="I691" s="3"/>
      <c r="S691" s="3"/>
    </row>
    <row r="692" ht="15.75" customHeight="1">
      <c r="I692" s="3"/>
      <c r="S692" s="3"/>
    </row>
    <row r="693" ht="15.75" customHeight="1">
      <c r="I693" s="3"/>
      <c r="S693" s="3"/>
    </row>
    <row r="694" ht="15.75" customHeight="1">
      <c r="I694" s="3"/>
      <c r="S694" s="3"/>
    </row>
    <row r="695" ht="15.75" customHeight="1">
      <c r="I695" s="3"/>
      <c r="S695" s="3"/>
    </row>
    <row r="696" ht="15.75" customHeight="1">
      <c r="I696" s="3"/>
      <c r="S696" s="3"/>
    </row>
    <row r="697" ht="15.75" customHeight="1">
      <c r="I697" s="3"/>
      <c r="S697" s="3"/>
    </row>
    <row r="698" ht="15.75" customHeight="1">
      <c r="I698" s="3"/>
      <c r="S698" s="3"/>
    </row>
    <row r="699" ht="15.75" customHeight="1">
      <c r="I699" s="3"/>
      <c r="S699" s="3"/>
    </row>
    <row r="700" ht="15.75" customHeight="1">
      <c r="I700" s="3"/>
      <c r="S700" s="3"/>
    </row>
    <row r="701" ht="15.75" customHeight="1">
      <c r="I701" s="3"/>
      <c r="S701" s="3"/>
    </row>
    <row r="702" ht="15.75" customHeight="1">
      <c r="I702" s="3"/>
      <c r="S702" s="3"/>
    </row>
    <row r="703" ht="15.75" customHeight="1">
      <c r="I703" s="3"/>
      <c r="S703" s="3"/>
    </row>
    <row r="704" ht="15.75" customHeight="1">
      <c r="I704" s="3"/>
      <c r="S704" s="3"/>
    </row>
    <row r="705" ht="15.75" customHeight="1">
      <c r="I705" s="3"/>
      <c r="S705" s="3"/>
    </row>
    <row r="706" ht="15.75" customHeight="1">
      <c r="I706" s="3"/>
      <c r="S706" s="3"/>
    </row>
    <row r="707" ht="15.75" customHeight="1">
      <c r="I707" s="3"/>
      <c r="S707" s="3"/>
    </row>
    <row r="708" ht="15.75" customHeight="1">
      <c r="I708" s="3"/>
      <c r="S708" s="3"/>
    </row>
    <row r="709" ht="15.75" customHeight="1">
      <c r="I709" s="3"/>
      <c r="S709" s="3"/>
    </row>
    <row r="710" ht="15.75" customHeight="1">
      <c r="I710" s="3"/>
      <c r="S710" s="3"/>
    </row>
    <row r="711" ht="15.75" customHeight="1">
      <c r="I711" s="3"/>
      <c r="S711" s="3"/>
    </row>
    <row r="712" ht="15.75" customHeight="1">
      <c r="I712" s="3"/>
      <c r="S712" s="3"/>
    </row>
    <row r="713" ht="15.75" customHeight="1">
      <c r="I713" s="3"/>
      <c r="S713" s="3"/>
    </row>
    <row r="714" ht="15.75" customHeight="1">
      <c r="I714" s="3"/>
      <c r="S714" s="3"/>
    </row>
    <row r="715" ht="15.75" customHeight="1">
      <c r="I715" s="3"/>
      <c r="S715" s="3"/>
    </row>
    <row r="716" ht="15.75" customHeight="1">
      <c r="I716" s="3"/>
      <c r="S716" s="3"/>
    </row>
    <row r="717" ht="15.75" customHeight="1">
      <c r="I717" s="3"/>
      <c r="S717" s="3"/>
    </row>
    <row r="718" ht="15.75" customHeight="1">
      <c r="I718" s="3"/>
      <c r="S718" s="3"/>
    </row>
    <row r="719" ht="15.75" customHeight="1">
      <c r="I719" s="3"/>
      <c r="S719" s="3"/>
    </row>
    <row r="720" ht="15.75" customHeight="1">
      <c r="I720" s="3"/>
      <c r="S720" s="3"/>
    </row>
    <row r="721" ht="15.75" customHeight="1">
      <c r="I721" s="3"/>
      <c r="S721" s="3"/>
    </row>
    <row r="722" ht="15.75" customHeight="1">
      <c r="I722" s="3"/>
      <c r="S722" s="3"/>
    </row>
    <row r="723" ht="15.75" customHeight="1">
      <c r="I723" s="3"/>
      <c r="S723" s="3"/>
    </row>
    <row r="724" ht="15.75" customHeight="1">
      <c r="I724" s="3"/>
      <c r="S724" s="3"/>
    </row>
    <row r="725" ht="15.75" customHeight="1">
      <c r="I725" s="3"/>
      <c r="S725" s="3"/>
    </row>
    <row r="726" ht="15.75" customHeight="1">
      <c r="I726" s="3"/>
      <c r="S726" s="3"/>
    </row>
    <row r="727" ht="15.75" customHeight="1">
      <c r="I727" s="3"/>
      <c r="S727" s="3"/>
    </row>
    <row r="728" ht="15.75" customHeight="1">
      <c r="I728" s="3"/>
      <c r="S728" s="3"/>
    </row>
    <row r="729" ht="15.75" customHeight="1">
      <c r="I729" s="3"/>
      <c r="S729" s="3"/>
    </row>
    <row r="730" ht="15.75" customHeight="1">
      <c r="I730" s="3"/>
      <c r="S730" s="3"/>
    </row>
    <row r="731" ht="15.75" customHeight="1">
      <c r="I731" s="3"/>
      <c r="S731" s="3"/>
    </row>
    <row r="732" ht="15.75" customHeight="1">
      <c r="I732" s="3"/>
      <c r="S732" s="3"/>
    </row>
    <row r="733" ht="15.75" customHeight="1">
      <c r="I733" s="3"/>
      <c r="S733" s="3"/>
    </row>
    <row r="734" ht="15.75" customHeight="1">
      <c r="I734" s="3"/>
      <c r="S734" s="3"/>
    </row>
    <row r="735" ht="15.75" customHeight="1">
      <c r="I735" s="3"/>
      <c r="S735" s="3"/>
    </row>
    <row r="736" ht="15.75" customHeight="1">
      <c r="I736" s="3"/>
      <c r="S736" s="3"/>
    </row>
    <row r="737" ht="15.75" customHeight="1">
      <c r="I737" s="3"/>
      <c r="S737" s="3"/>
    </row>
    <row r="738" ht="15.75" customHeight="1">
      <c r="I738" s="3"/>
      <c r="S738" s="3"/>
    </row>
    <row r="739" ht="15.75" customHeight="1">
      <c r="I739" s="3"/>
      <c r="S739" s="3"/>
    </row>
    <row r="740" ht="15.75" customHeight="1">
      <c r="I740" s="3"/>
      <c r="S740" s="3"/>
    </row>
    <row r="741" ht="15.75" customHeight="1">
      <c r="I741" s="3"/>
      <c r="S741" s="3"/>
    </row>
    <row r="742" ht="15.75" customHeight="1">
      <c r="I742" s="3"/>
      <c r="S742" s="3"/>
    </row>
    <row r="743" ht="15.75" customHeight="1">
      <c r="I743" s="3"/>
      <c r="S743" s="3"/>
    </row>
    <row r="744" ht="15.75" customHeight="1">
      <c r="I744" s="3"/>
      <c r="S744" s="3"/>
    </row>
    <row r="745" ht="15.75" customHeight="1">
      <c r="I745" s="3"/>
      <c r="S745" s="3"/>
    </row>
    <row r="746" ht="15.75" customHeight="1">
      <c r="I746" s="3"/>
      <c r="S746" s="3"/>
    </row>
    <row r="747" ht="15.75" customHeight="1">
      <c r="I747" s="3"/>
      <c r="S747" s="3"/>
    </row>
    <row r="748" ht="15.75" customHeight="1">
      <c r="I748" s="3"/>
      <c r="S748" s="3"/>
    </row>
    <row r="749" ht="15.75" customHeight="1">
      <c r="I749" s="3"/>
      <c r="S749" s="3"/>
    </row>
    <row r="750" ht="15.75" customHeight="1">
      <c r="I750" s="3"/>
      <c r="S750" s="3"/>
    </row>
    <row r="751" ht="15.75" customHeight="1">
      <c r="I751" s="3"/>
      <c r="S751" s="3"/>
    </row>
    <row r="752" ht="15.75" customHeight="1">
      <c r="I752" s="3"/>
      <c r="S752" s="3"/>
    </row>
    <row r="753" ht="15.75" customHeight="1">
      <c r="I753" s="3"/>
      <c r="S753" s="3"/>
    </row>
    <row r="754" ht="15.75" customHeight="1">
      <c r="I754" s="3"/>
      <c r="S754" s="3"/>
    </row>
    <row r="755" ht="15.75" customHeight="1">
      <c r="I755" s="3"/>
      <c r="S755" s="3"/>
    </row>
    <row r="756" ht="15.75" customHeight="1">
      <c r="I756" s="3"/>
      <c r="S756" s="3"/>
    </row>
    <row r="757" ht="15.75" customHeight="1">
      <c r="I757" s="3"/>
      <c r="S757" s="3"/>
    </row>
    <row r="758" ht="15.75" customHeight="1">
      <c r="I758" s="3"/>
      <c r="S758" s="3"/>
    </row>
    <row r="759" ht="15.75" customHeight="1">
      <c r="I759" s="3"/>
      <c r="S759" s="3"/>
    </row>
    <row r="760" ht="15.75" customHeight="1">
      <c r="I760" s="3"/>
      <c r="S760" s="3"/>
    </row>
    <row r="761" ht="15.75" customHeight="1">
      <c r="I761" s="3"/>
      <c r="S761" s="3"/>
    </row>
    <row r="762" ht="15.75" customHeight="1">
      <c r="I762" s="3"/>
      <c r="S762" s="3"/>
    </row>
    <row r="763" ht="15.75" customHeight="1">
      <c r="I763" s="3"/>
      <c r="S763" s="3"/>
    </row>
    <row r="764" ht="15.75" customHeight="1">
      <c r="I764" s="3"/>
      <c r="S764" s="3"/>
    </row>
    <row r="765" ht="15.75" customHeight="1">
      <c r="I765" s="3"/>
      <c r="S765" s="3"/>
    </row>
    <row r="766" ht="15.75" customHeight="1">
      <c r="I766" s="3"/>
      <c r="S766" s="3"/>
    </row>
    <row r="767" ht="15.75" customHeight="1">
      <c r="I767" s="3"/>
      <c r="S767" s="3"/>
    </row>
    <row r="768" ht="15.75" customHeight="1">
      <c r="I768" s="3"/>
      <c r="S768" s="3"/>
    </row>
    <row r="769" ht="15.75" customHeight="1">
      <c r="I769" s="3"/>
      <c r="S769" s="3"/>
    </row>
    <row r="770" ht="15.75" customHeight="1">
      <c r="I770" s="3"/>
      <c r="S770" s="3"/>
    </row>
    <row r="771" ht="15.75" customHeight="1">
      <c r="I771" s="3"/>
      <c r="S771" s="3"/>
    </row>
    <row r="772" ht="15.75" customHeight="1">
      <c r="I772" s="3"/>
      <c r="S772" s="3"/>
    </row>
    <row r="773" ht="15.75" customHeight="1">
      <c r="I773" s="3"/>
      <c r="S773" s="3"/>
    </row>
    <row r="774" ht="15.75" customHeight="1">
      <c r="I774" s="3"/>
      <c r="S774" s="3"/>
    </row>
    <row r="775" ht="15.75" customHeight="1">
      <c r="I775" s="3"/>
      <c r="S775" s="3"/>
    </row>
    <row r="776" ht="15.75" customHeight="1">
      <c r="I776" s="3"/>
      <c r="S776" s="3"/>
    </row>
    <row r="777" ht="15.75" customHeight="1">
      <c r="I777" s="3"/>
      <c r="S777" s="3"/>
    </row>
    <row r="778" ht="15.75" customHeight="1">
      <c r="I778" s="3"/>
      <c r="S778" s="3"/>
    </row>
    <row r="779" ht="15.75" customHeight="1">
      <c r="I779" s="3"/>
      <c r="S779" s="3"/>
    </row>
    <row r="780" ht="15.75" customHeight="1">
      <c r="I780" s="3"/>
      <c r="S780" s="3"/>
    </row>
    <row r="781" ht="15.75" customHeight="1">
      <c r="I781" s="3"/>
      <c r="S781" s="3"/>
    </row>
    <row r="782" ht="15.75" customHeight="1">
      <c r="I782" s="3"/>
      <c r="S782" s="3"/>
    </row>
    <row r="783" ht="15.75" customHeight="1">
      <c r="I783" s="3"/>
      <c r="S783" s="3"/>
    </row>
    <row r="784" ht="15.75" customHeight="1">
      <c r="I784" s="3"/>
      <c r="S784" s="3"/>
    </row>
    <row r="785" ht="15.75" customHeight="1">
      <c r="I785" s="3"/>
      <c r="S785" s="3"/>
    </row>
    <row r="786" ht="15.75" customHeight="1">
      <c r="I786" s="3"/>
      <c r="S786" s="3"/>
    </row>
    <row r="787" ht="15.75" customHeight="1">
      <c r="I787" s="3"/>
      <c r="S787" s="3"/>
    </row>
    <row r="788" ht="15.75" customHeight="1">
      <c r="I788" s="3"/>
      <c r="S788" s="3"/>
    </row>
    <row r="789" ht="15.75" customHeight="1">
      <c r="I789" s="3"/>
      <c r="S789" s="3"/>
    </row>
    <row r="790" ht="15.75" customHeight="1">
      <c r="I790" s="3"/>
      <c r="S790" s="3"/>
    </row>
    <row r="791" ht="15.75" customHeight="1">
      <c r="I791" s="3"/>
      <c r="S791" s="3"/>
    </row>
    <row r="792" ht="15.75" customHeight="1">
      <c r="I792" s="3"/>
      <c r="S792" s="3"/>
    </row>
    <row r="793" ht="15.75" customHeight="1">
      <c r="I793" s="3"/>
      <c r="S793" s="3"/>
    </row>
    <row r="794" ht="15.75" customHeight="1">
      <c r="I794" s="3"/>
      <c r="S794" s="3"/>
    </row>
    <row r="795" ht="15.75" customHeight="1">
      <c r="I795" s="3"/>
      <c r="S795" s="3"/>
    </row>
    <row r="796" ht="15.75" customHeight="1">
      <c r="I796" s="3"/>
      <c r="S796" s="3"/>
    </row>
    <row r="797" ht="15.75" customHeight="1">
      <c r="I797" s="3"/>
      <c r="S797" s="3"/>
    </row>
    <row r="798" ht="15.75" customHeight="1">
      <c r="I798" s="3"/>
      <c r="S798" s="3"/>
    </row>
    <row r="799" ht="15.75" customHeight="1">
      <c r="I799" s="3"/>
      <c r="S799" s="3"/>
    </row>
    <row r="800" ht="15.75" customHeight="1">
      <c r="I800" s="3"/>
      <c r="S800" s="3"/>
    </row>
    <row r="801" ht="15.75" customHeight="1">
      <c r="I801" s="3"/>
      <c r="S801" s="3"/>
    </row>
    <row r="802" ht="15.75" customHeight="1">
      <c r="I802" s="3"/>
      <c r="S802" s="3"/>
    </row>
    <row r="803" ht="15.75" customHeight="1">
      <c r="I803" s="3"/>
      <c r="S803" s="3"/>
    </row>
    <row r="804" ht="15.75" customHeight="1">
      <c r="I804" s="3"/>
      <c r="S804" s="3"/>
    </row>
    <row r="805" ht="15.75" customHeight="1">
      <c r="I805" s="3"/>
      <c r="S805" s="3"/>
    </row>
    <row r="806" ht="15.75" customHeight="1">
      <c r="I806" s="3"/>
      <c r="S806" s="3"/>
    </row>
    <row r="807" ht="15.75" customHeight="1">
      <c r="I807" s="3"/>
      <c r="S807" s="3"/>
    </row>
    <row r="808" ht="15.75" customHeight="1">
      <c r="I808" s="3"/>
      <c r="S808" s="3"/>
    </row>
    <row r="809" ht="15.75" customHeight="1">
      <c r="I809" s="3"/>
      <c r="S809" s="3"/>
    </row>
    <row r="810" ht="15.75" customHeight="1">
      <c r="I810" s="3"/>
      <c r="S810" s="3"/>
    </row>
    <row r="811" ht="15.75" customHeight="1">
      <c r="I811" s="3"/>
      <c r="S811" s="3"/>
    </row>
    <row r="812" ht="15.75" customHeight="1">
      <c r="I812" s="3"/>
      <c r="S812" s="3"/>
    </row>
    <row r="813" ht="15.75" customHeight="1">
      <c r="I813" s="3"/>
      <c r="S813" s="3"/>
    </row>
    <row r="814" ht="15.75" customHeight="1">
      <c r="I814" s="3"/>
      <c r="S814" s="3"/>
    </row>
    <row r="815" ht="15.75" customHeight="1">
      <c r="I815" s="3"/>
      <c r="S815" s="3"/>
    </row>
    <row r="816" ht="15.75" customHeight="1">
      <c r="I816" s="3"/>
      <c r="S816" s="3"/>
    </row>
    <row r="817" ht="15.75" customHeight="1">
      <c r="I817" s="3"/>
      <c r="S817" s="3"/>
    </row>
    <row r="818" ht="15.75" customHeight="1">
      <c r="I818" s="3"/>
      <c r="S818" s="3"/>
    </row>
    <row r="819" ht="15.75" customHeight="1">
      <c r="I819" s="3"/>
      <c r="S819" s="3"/>
    </row>
    <row r="820" ht="15.75" customHeight="1">
      <c r="I820" s="3"/>
      <c r="S820" s="3"/>
    </row>
    <row r="821" ht="15.75" customHeight="1">
      <c r="I821" s="3"/>
      <c r="S821" s="3"/>
    </row>
    <row r="822" ht="15.75" customHeight="1">
      <c r="I822" s="3"/>
      <c r="S822" s="3"/>
    </row>
    <row r="823" ht="15.75" customHeight="1">
      <c r="I823" s="3"/>
      <c r="S823" s="3"/>
    </row>
    <row r="824" ht="15.75" customHeight="1">
      <c r="I824" s="3"/>
      <c r="S824" s="3"/>
    </row>
    <row r="825" ht="15.75" customHeight="1">
      <c r="I825" s="3"/>
      <c r="S825" s="3"/>
    </row>
    <row r="826" ht="15.75" customHeight="1">
      <c r="I826" s="3"/>
      <c r="S826" s="3"/>
    </row>
    <row r="827" ht="15.75" customHeight="1">
      <c r="I827" s="3"/>
      <c r="S827" s="3"/>
    </row>
    <row r="828" ht="15.75" customHeight="1">
      <c r="I828" s="3"/>
      <c r="S828" s="3"/>
    </row>
    <row r="829" ht="15.75" customHeight="1">
      <c r="I829" s="3"/>
      <c r="S829" s="3"/>
    </row>
    <row r="830" ht="15.75" customHeight="1">
      <c r="I830" s="3"/>
      <c r="S830" s="3"/>
    </row>
    <row r="831" ht="15.75" customHeight="1">
      <c r="I831" s="3"/>
      <c r="S831" s="3"/>
    </row>
    <row r="832" ht="15.75" customHeight="1">
      <c r="I832" s="3"/>
      <c r="S832" s="3"/>
    </row>
    <row r="833" ht="15.75" customHeight="1">
      <c r="I833" s="3"/>
      <c r="S833" s="3"/>
    </row>
    <row r="834" ht="15.75" customHeight="1">
      <c r="I834" s="3"/>
      <c r="S834" s="3"/>
    </row>
    <row r="835" ht="15.75" customHeight="1">
      <c r="I835" s="3"/>
      <c r="S835" s="3"/>
    </row>
    <row r="836" ht="15.75" customHeight="1">
      <c r="I836" s="3"/>
      <c r="S836" s="3"/>
    </row>
    <row r="837" ht="15.75" customHeight="1">
      <c r="I837" s="3"/>
      <c r="S837" s="3"/>
    </row>
    <row r="838" ht="15.75" customHeight="1">
      <c r="I838" s="3"/>
      <c r="S838" s="3"/>
    </row>
    <row r="839" ht="15.75" customHeight="1">
      <c r="I839" s="3"/>
      <c r="S839" s="3"/>
    </row>
    <row r="840" ht="15.75" customHeight="1">
      <c r="I840" s="3"/>
      <c r="S840" s="3"/>
    </row>
    <row r="841" ht="15.75" customHeight="1">
      <c r="I841" s="3"/>
      <c r="S841" s="3"/>
    </row>
    <row r="842" ht="15.75" customHeight="1">
      <c r="I842" s="3"/>
      <c r="S842" s="3"/>
    </row>
    <row r="843" ht="15.75" customHeight="1">
      <c r="I843" s="3"/>
      <c r="S843" s="3"/>
    </row>
    <row r="844" ht="15.75" customHeight="1">
      <c r="I844" s="3"/>
      <c r="S844" s="3"/>
    </row>
    <row r="845" ht="15.75" customHeight="1">
      <c r="I845" s="3"/>
      <c r="S845" s="3"/>
    </row>
    <row r="846" ht="15.75" customHeight="1">
      <c r="I846" s="3"/>
      <c r="S846" s="3"/>
    </row>
    <row r="847" ht="15.75" customHeight="1">
      <c r="I847" s="3"/>
      <c r="S847" s="3"/>
    </row>
    <row r="848" ht="15.75" customHeight="1">
      <c r="I848" s="3"/>
      <c r="S848" s="3"/>
    </row>
    <row r="849" ht="15.75" customHeight="1">
      <c r="I849" s="3"/>
      <c r="S849" s="3"/>
    </row>
    <row r="850" ht="15.75" customHeight="1">
      <c r="I850" s="3"/>
      <c r="S850" s="3"/>
    </row>
    <row r="851" ht="15.75" customHeight="1">
      <c r="I851" s="3"/>
      <c r="S851" s="3"/>
    </row>
    <row r="852" ht="15.75" customHeight="1">
      <c r="I852" s="3"/>
      <c r="S852" s="3"/>
    </row>
    <row r="853" ht="15.75" customHeight="1">
      <c r="I853" s="3"/>
      <c r="S853" s="3"/>
    </row>
    <row r="854" ht="15.75" customHeight="1">
      <c r="I854" s="3"/>
      <c r="S854" s="3"/>
    </row>
    <row r="855" ht="15.75" customHeight="1">
      <c r="I855" s="3"/>
      <c r="S855" s="3"/>
    </row>
    <row r="856" ht="15.75" customHeight="1">
      <c r="I856" s="3"/>
      <c r="S856" s="3"/>
    </row>
    <row r="857" ht="15.75" customHeight="1">
      <c r="I857" s="3"/>
      <c r="S857" s="3"/>
    </row>
    <row r="858" ht="15.75" customHeight="1">
      <c r="I858" s="3"/>
      <c r="S858" s="3"/>
    </row>
    <row r="859" ht="15.75" customHeight="1">
      <c r="I859" s="3"/>
      <c r="S859" s="3"/>
    </row>
    <row r="860" ht="15.75" customHeight="1">
      <c r="I860" s="3"/>
      <c r="S860" s="3"/>
    </row>
    <row r="861" ht="15.75" customHeight="1">
      <c r="I861" s="3"/>
      <c r="S861" s="3"/>
    </row>
    <row r="862" ht="15.75" customHeight="1">
      <c r="I862" s="3"/>
      <c r="S862" s="3"/>
    </row>
    <row r="863" ht="15.75" customHeight="1">
      <c r="I863" s="3"/>
      <c r="S863" s="3"/>
    </row>
    <row r="864" ht="15.75" customHeight="1">
      <c r="I864" s="3"/>
      <c r="S864" s="3"/>
    </row>
    <row r="865" ht="15.75" customHeight="1">
      <c r="I865" s="3"/>
      <c r="S865" s="3"/>
    </row>
    <row r="866" ht="15.75" customHeight="1">
      <c r="I866" s="3"/>
      <c r="S866" s="3"/>
    </row>
    <row r="867" ht="15.75" customHeight="1">
      <c r="I867" s="3"/>
      <c r="S867" s="3"/>
    </row>
    <row r="868" ht="15.75" customHeight="1">
      <c r="I868" s="3"/>
      <c r="S868" s="3"/>
    </row>
    <row r="869" ht="15.75" customHeight="1">
      <c r="I869" s="3"/>
      <c r="S869" s="3"/>
    </row>
    <row r="870" ht="15.75" customHeight="1">
      <c r="I870" s="3"/>
      <c r="S870" s="3"/>
    </row>
    <row r="871" ht="15.75" customHeight="1">
      <c r="I871" s="3"/>
      <c r="S871" s="3"/>
    </row>
    <row r="872" ht="15.75" customHeight="1">
      <c r="I872" s="3"/>
      <c r="S872" s="3"/>
    </row>
    <row r="873" ht="15.75" customHeight="1">
      <c r="I873" s="3"/>
      <c r="S873" s="3"/>
    </row>
    <row r="874" ht="15.75" customHeight="1">
      <c r="I874" s="3"/>
      <c r="S874" s="3"/>
    </row>
    <row r="875" ht="15.75" customHeight="1">
      <c r="I875" s="3"/>
      <c r="S875" s="3"/>
    </row>
    <row r="876" ht="15.75" customHeight="1">
      <c r="I876" s="3"/>
      <c r="S876" s="3"/>
    </row>
    <row r="877" ht="15.75" customHeight="1">
      <c r="I877" s="3"/>
      <c r="S877" s="3"/>
    </row>
    <row r="878" ht="15.75" customHeight="1">
      <c r="I878" s="3"/>
      <c r="S878" s="3"/>
    </row>
    <row r="879" ht="15.75" customHeight="1">
      <c r="I879" s="3"/>
      <c r="S879" s="3"/>
    </row>
    <row r="880" ht="15.75" customHeight="1">
      <c r="I880" s="3"/>
      <c r="S880" s="3"/>
    </row>
    <row r="881" ht="15.75" customHeight="1">
      <c r="I881" s="3"/>
      <c r="S881" s="3"/>
    </row>
    <row r="882" ht="15.75" customHeight="1">
      <c r="I882" s="3"/>
      <c r="S882" s="3"/>
    </row>
    <row r="883" ht="15.75" customHeight="1">
      <c r="I883" s="3"/>
      <c r="S883" s="3"/>
    </row>
    <row r="884" ht="15.75" customHeight="1">
      <c r="I884" s="3"/>
      <c r="S884" s="3"/>
    </row>
    <row r="885" ht="15.75" customHeight="1">
      <c r="I885" s="3"/>
      <c r="S885" s="3"/>
    </row>
    <row r="886" ht="15.75" customHeight="1">
      <c r="I886" s="3"/>
      <c r="S886" s="3"/>
    </row>
    <row r="887" ht="15.75" customHeight="1">
      <c r="I887" s="3"/>
      <c r="S887" s="3"/>
    </row>
    <row r="888" ht="15.75" customHeight="1">
      <c r="I888" s="3"/>
      <c r="S888" s="3"/>
    </row>
    <row r="889" ht="15.75" customHeight="1">
      <c r="I889" s="3"/>
      <c r="S889" s="3"/>
    </row>
    <row r="890" ht="15.75" customHeight="1">
      <c r="I890" s="3"/>
      <c r="S890" s="3"/>
    </row>
    <row r="891" ht="15.75" customHeight="1">
      <c r="I891" s="3"/>
      <c r="S891" s="3"/>
    </row>
    <row r="892" ht="15.75" customHeight="1">
      <c r="I892" s="3"/>
      <c r="S892" s="3"/>
    </row>
    <row r="893" ht="15.75" customHeight="1">
      <c r="I893" s="3"/>
      <c r="S893" s="3"/>
    </row>
    <row r="894" ht="15.75" customHeight="1">
      <c r="I894" s="3"/>
      <c r="S894" s="3"/>
    </row>
    <row r="895" ht="15.75" customHeight="1">
      <c r="I895" s="3"/>
      <c r="S895" s="3"/>
    </row>
    <row r="896" ht="15.75" customHeight="1">
      <c r="I896" s="3"/>
      <c r="S896" s="3"/>
    </row>
    <row r="897" ht="15.75" customHeight="1">
      <c r="I897" s="3"/>
      <c r="S897" s="3"/>
    </row>
    <row r="898" ht="15.75" customHeight="1">
      <c r="I898" s="3"/>
      <c r="S898" s="3"/>
    </row>
    <row r="899" ht="15.75" customHeight="1">
      <c r="I899" s="3"/>
      <c r="S899" s="3"/>
    </row>
    <row r="900" ht="15.75" customHeight="1">
      <c r="I900" s="3"/>
      <c r="S900" s="3"/>
    </row>
    <row r="901" ht="15.75" customHeight="1">
      <c r="I901" s="3"/>
      <c r="S901" s="3"/>
    </row>
    <row r="902" ht="15.75" customHeight="1">
      <c r="I902" s="3"/>
      <c r="S902" s="3"/>
    </row>
    <row r="903" ht="15.75" customHeight="1">
      <c r="I903" s="3"/>
      <c r="S903" s="3"/>
    </row>
    <row r="904" ht="15.75" customHeight="1">
      <c r="I904" s="3"/>
      <c r="S904" s="3"/>
    </row>
    <row r="905" ht="15.75" customHeight="1">
      <c r="I905" s="3"/>
      <c r="S905" s="3"/>
    </row>
    <row r="906" ht="15.75" customHeight="1">
      <c r="I906" s="3"/>
      <c r="S906" s="3"/>
    </row>
    <row r="907" ht="15.75" customHeight="1">
      <c r="I907" s="3"/>
      <c r="S907" s="3"/>
    </row>
    <row r="908" ht="15.75" customHeight="1">
      <c r="I908" s="3"/>
      <c r="S908" s="3"/>
    </row>
    <row r="909" ht="15.75" customHeight="1">
      <c r="I909" s="3"/>
      <c r="S909" s="3"/>
    </row>
    <row r="910" ht="15.75" customHeight="1">
      <c r="I910" s="3"/>
      <c r="S910" s="3"/>
    </row>
    <row r="911" ht="15.75" customHeight="1">
      <c r="I911" s="3"/>
      <c r="S911" s="3"/>
    </row>
    <row r="912" ht="15.75" customHeight="1">
      <c r="I912" s="3"/>
      <c r="S912" s="3"/>
    </row>
    <row r="913" ht="15.75" customHeight="1">
      <c r="I913" s="3"/>
      <c r="S913" s="3"/>
    </row>
    <row r="914" ht="15.75" customHeight="1">
      <c r="I914" s="3"/>
      <c r="S914" s="3"/>
    </row>
    <row r="915" ht="15.75" customHeight="1">
      <c r="I915" s="3"/>
      <c r="S915" s="3"/>
    </row>
    <row r="916" ht="15.75" customHeight="1">
      <c r="I916" s="3"/>
      <c r="S916" s="3"/>
    </row>
    <row r="917" ht="15.75" customHeight="1">
      <c r="I917" s="3"/>
      <c r="S917" s="3"/>
    </row>
    <row r="918" ht="15.75" customHeight="1">
      <c r="I918" s="3"/>
      <c r="S918" s="3"/>
    </row>
    <row r="919" ht="15.75" customHeight="1">
      <c r="I919" s="3"/>
      <c r="S919" s="3"/>
    </row>
    <row r="920" ht="15.75" customHeight="1">
      <c r="I920" s="3"/>
      <c r="S920" s="3"/>
    </row>
    <row r="921" ht="15.75" customHeight="1">
      <c r="I921" s="3"/>
      <c r="S921" s="3"/>
    </row>
    <row r="922" ht="15.75" customHeight="1">
      <c r="I922" s="3"/>
      <c r="S922" s="3"/>
    </row>
    <row r="923" ht="15.75" customHeight="1">
      <c r="I923" s="3"/>
      <c r="S923" s="3"/>
    </row>
    <row r="924" ht="15.75" customHeight="1">
      <c r="I924" s="3"/>
      <c r="S924" s="3"/>
    </row>
    <row r="925" ht="15.75" customHeight="1">
      <c r="I925" s="3"/>
      <c r="S925" s="3"/>
    </row>
    <row r="926" ht="15.75" customHeight="1">
      <c r="I926" s="3"/>
      <c r="S926" s="3"/>
    </row>
    <row r="927" ht="15.75" customHeight="1">
      <c r="I927" s="3"/>
      <c r="S927" s="3"/>
    </row>
    <row r="928" ht="15.75" customHeight="1">
      <c r="I928" s="3"/>
      <c r="S928" s="3"/>
    </row>
    <row r="929" ht="15.75" customHeight="1">
      <c r="I929" s="3"/>
      <c r="S929" s="3"/>
    </row>
    <row r="930" ht="15.75" customHeight="1">
      <c r="I930" s="3"/>
      <c r="S930" s="3"/>
    </row>
    <row r="931" ht="15.75" customHeight="1">
      <c r="I931" s="3"/>
      <c r="S931" s="3"/>
    </row>
    <row r="932" ht="15.75" customHeight="1">
      <c r="I932" s="3"/>
      <c r="S932" s="3"/>
    </row>
    <row r="933" ht="15.75" customHeight="1">
      <c r="I933" s="3"/>
      <c r="S933" s="3"/>
    </row>
    <row r="934" ht="15.75" customHeight="1">
      <c r="I934" s="3"/>
      <c r="S934" s="3"/>
    </row>
    <row r="935" ht="15.75" customHeight="1">
      <c r="I935" s="3"/>
      <c r="S935" s="3"/>
    </row>
    <row r="936" ht="15.75" customHeight="1">
      <c r="I936" s="3"/>
      <c r="S936" s="3"/>
    </row>
    <row r="937" ht="15.75" customHeight="1">
      <c r="I937" s="3"/>
      <c r="S937" s="3"/>
    </row>
    <row r="938" ht="15.75" customHeight="1">
      <c r="I938" s="3"/>
      <c r="S938" s="3"/>
    </row>
    <row r="939" ht="15.75" customHeight="1">
      <c r="I939" s="3"/>
      <c r="S939" s="3"/>
    </row>
    <row r="940" ht="15.75" customHeight="1">
      <c r="I940" s="3"/>
      <c r="S940" s="3"/>
    </row>
    <row r="941" ht="15.75" customHeight="1">
      <c r="I941" s="3"/>
      <c r="S941" s="3"/>
    </row>
    <row r="942" ht="15.75" customHeight="1">
      <c r="I942" s="3"/>
      <c r="S942" s="3"/>
    </row>
    <row r="943" ht="15.75" customHeight="1">
      <c r="I943" s="3"/>
      <c r="S943" s="3"/>
    </row>
    <row r="944" ht="15.75" customHeight="1">
      <c r="I944" s="3"/>
      <c r="S944" s="3"/>
    </row>
    <row r="945" ht="15.75" customHeight="1">
      <c r="I945" s="3"/>
      <c r="S945" s="3"/>
    </row>
    <row r="946" ht="15.75" customHeight="1">
      <c r="I946" s="3"/>
      <c r="S946" s="3"/>
    </row>
    <row r="947" ht="15.75" customHeight="1">
      <c r="I947" s="3"/>
      <c r="S947" s="3"/>
    </row>
    <row r="948" ht="15.75" customHeight="1">
      <c r="I948" s="3"/>
      <c r="S948" s="3"/>
    </row>
    <row r="949" ht="15.75" customHeight="1">
      <c r="I949" s="3"/>
      <c r="S949" s="3"/>
    </row>
    <row r="950" ht="15.75" customHeight="1">
      <c r="I950" s="3"/>
      <c r="S950" s="3"/>
    </row>
    <row r="951" ht="15.75" customHeight="1">
      <c r="I951" s="3"/>
      <c r="S951" s="3"/>
    </row>
    <row r="952" ht="15.75" customHeight="1">
      <c r="I952" s="3"/>
      <c r="S952" s="3"/>
    </row>
    <row r="953" ht="15.75" customHeight="1">
      <c r="I953" s="3"/>
      <c r="S953" s="3"/>
    </row>
    <row r="954" ht="15.75" customHeight="1">
      <c r="I954" s="3"/>
      <c r="S954" s="3"/>
    </row>
    <row r="955" ht="15.75" customHeight="1">
      <c r="I955" s="3"/>
      <c r="S955" s="3"/>
    </row>
    <row r="956" ht="15.75" customHeight="1">
      <c r="I956" s="3"/>
      <c r="S956" s="3"/>
    </row>
    <row r="957" ht="15.75" customHeight="1">
      <c r="I957" s="3"/>
      <c r="S957" s="3"/>
    </row>
    <row r="958" ht="15.75" customHeight="1">
      <c r="I958" s="3"/>
      <c r="S958" s="3"/>
    </row>
    <row r="959" ht="15.75" customHeight="1">
      <c r="I959" s="3"/>
      <c r="S959" s="3"/>
    </row>
    <row r="960" ht="15.75" customHeight="1">
      <c r="I960" s="3"/>
      <c r="S960" s="3"/>
    </row>
    <row r="961" ht="15.75" customHeight="1">
      <c r="I961" s="3"/>
      <c r="S961" s="3"/>
    </row>
    <row r="962" ht="15.75" customHeight="1">
      <c r="I962" s="3"/>
      <c r="S962" s="3"/>
    </row>
    <row r="963" ht="15.75" customHeight="1">
      <c r="I963" s="3"/>
      <c r="S963" s="3"/>
    </row>
    <row r="964" ht="15.75" customHeight="1">
      <c r="I964" s="3"/>
      <c r="S964" s="3"/>
    </row>
    <row r="965" ht="15.75" customHeight="1">
      <c r="I965" s="3"/>
      <c r="S965" s="3"/>
    </row>
    <row r="966" ht="15.75" customHeight="1">
      <c r="I966" s="3"/>
      <c r="S966" s="3"/>
    </row>
    <row r="967" ht="15.75" customHeight="1">
      <c r="I967" s="3"/>
      <c r="S967" s="3"/>
    </row>
    <row r="968" ht="15.75" customHeight="1">
      <c r="I968" s="3"/>
      <c r="S968" s="3"/>
    </row>
    <row r="969" ht="15.75" customHeight="1">
      <c r="I969" s="3"/>
      <c r="S969" s="3"/>
    </row>
    <row r="970" ht="15.75" customHeight="1">
      <c r="I970" s="3"/>
      <c r="S970" s="3"/>
    </row>
    <row r="971" ht="15.75" customHeight="1">
      <c r="I971" s="3"/>
      <c r="S971" s="3"/>
    </row>
    <row r="972" ht="15.75" customHeight="1">
      <c r="I972" s="3"/>
      <c r="S972" s="3"/>
    </row>
    <row r="973" ht="15.75" customHeight="1">
      <c r="I973" s="3"/>
      <c r="S973" s="3"/>
    </row>
    <row r="974" ht="15.75" customHeight="1">
      <c r="I974" s="3"/>
      <c r="S974" s="3"/>
    </row>
    <row r="975" ht="15.75" customHeight="1">
      <c r="I975" s="3"/>
      <c r="S975" s="3"/>
    </row>
    <row r="976" ht="15.75" customHeight="1">
      <c r="I976" s="3"/>
      <c r="S976" s="3"/>
    </row>
    <row r="977" ht="15.75" customHeight="1">
      <c r="I977" s="3"/>
      <c r="S977" s="3"/>
    </row>
    <row r="978" ht="15.75" customHeight="1">
      <c r="I978" s="3"/>
      <c r="S978" s="3"/>
    </row>
    <row r="979" ht="15.75" customHeight="1">
      <c r="I979" s="3"/>
      <c r="S979" s="3"/>
    </row>
    <row r="980" ht="15.75" customHeight="1">
      <c r="I980" s="3"/>
      <c r="S980" s="3"/>
    </row>
    <row r="981" ht="15.75" customHeight="1">
      <c r="I981" s="3"/>
      <c r="S981" s="3"/>
    </row>
    <row r="982" ht="15.75" customHeight="1">
      <c r="I982" s="3"/>
      <c r="S982" s="3"/>
    </row>
    <row r="983" ht="15.75" customHeight="1">
      <c r="I983" s="3"/>
      <c r="S983" s="3"/>
    </row>
    <row r="984" ht="15.75" customHeight="1">
      <c r="I984" s="3"/>
      <c r="S984" s="3"/>
    </row>
    <row r="985" ht="15.75" customHeight="1">
      <c r="I985" s="3"/>
      <c r="S985" s="3"/>
    </row>
    <row r="986" ht="15.75" customHeight="1">
      <c r="I986" s="3"/>
      <c r="S986" s="3"/>
    </row>
    <row r="987" ht="15.75" customHeight="1">
      <c r="I987" s="3"/>
      <c r="S987" s="3"/>
    </row>
    <row r="988" ht="15.75" customHeight="1">
      <c r="I988" s="3"/>
      <c r="S988" s="3"/>
    </row>
    <row r="989" ht="15.75" customHeight="1">
      <c r="I989" s="3"/>
      <c r="S989" s="3"/>
    </row>
    <row r="990" ht="15.75" customHeight="1">
      <c r="I990" s="3"/>
      <c r="S990" s="3"/>
    </row>
    <row r="991" ht="15.75" customHeight="1">
      <c r="I991" s="3"/>
      <c r="S991" s="3"/>
    </row>
    <row r="992" ht="15.75" customHeight="1">
      <c r="I992" s="3"/>
      <c r="S992" s="3"/>
    </row>
    <row r="993" ht="15.75" customHeight="1">
      <c r="I993" s="3"/>
      <c r="S993" s="3"/>
    </row>
    <row r="994" ht="15.75" customHeight="1">
      <c r="I994" s="3"/>
      <c r="S994" s="3"/>
    </row>
    <row r="995" ht="15.75" customHeight="1">
      <c r="I995" s="3"/>
      <c r="S995" s="3"/>
    </row>
    <row r="996" ht="15.75" customHeight="1">
      <c r="I996" s="3"/>
      <c r="S996" s="3"/>
    </row>
    <row r="997" ht="15.75" customHeight="1">
      <c r="I997" s="3"/>
      <c r="S997" s="3"/>
    </row>
    <row r="998" ht="15.75" customHeight="1">
      <c r="I998" s="3"/>
      <c r="S998" s="3"/>
    </row>
    <row r="999" ht="15.75" customHeight="1">
      <c r="I999" s="3"/>
      <c r="S999" s="3"/>
    </row>
    <row r="1000" ht="15.75" customHeight="1">
      <c r="I1000" s="3"/>
      <c r="S1000" s="3"/>
    </row>
  </sheetData>
  <autoFilter ref="$A$1:$S$1"/>
  <dataValidations>
    <dataValidation type="list" allowBlank="1" sqref="I2:I1000">
      <formula1>"EUR,USD"</formula1>
    </dataValidation>
    <dataValidation type="list" allowBlank="1" sqref="S2:S10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4.0"/>
    <col customWidth="1" min="2" max="2" width="2.0"/>
    <col customWidth="1" min="3" max="3" width="12.0"/>
    <col customWidth="1" min="4" max="26" width="8.71"/>
  </cols>
  <sheetData>
    <row r="1">
      <c r="A1" s="7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>
      <c r="A2" s="8"/>
      <c r="B2" s="8"/>
      <c r="C2" s="9" t="s">
        <v>99</v>
      </c>
      <c r="D2" s="9" t="s">
        <v>100</v>
      </c>
      <c r="E2" s="9" t="s">
        <v>101</v>
      </c>
      <c r="F2" s="9" t="s">
        <v>102</v>
      </c>
      <c r="G2" s="9" t="s">
        <v>103</v>
      </c>
      <c r="H2" s="9" t="s">
        <v>104</v>
      </c>
      <c r="I2" s="9" t="s">
        <v>105</v>
      </c>
      <c r="J2" s="9" t="s">
        <v>106</v>
      </c>
      <c r="K2" s="9" t="s">
        <v>107</v>
      </c>
      <c r="L2" s="9" t="s">
        <v>108</v>
      </c>
      <c r="M2" s="9" t="s">
        <v>109</v>
      </c>
      <c r="N2" s="9" t="s">
        <v>110</v>
      </c>
      <c r="O2" s="9" t="s">
        <v>72</v>
      </c>
    </row>
    <row r="3">
      <c r="A3" s="8"/>
      <c r="B3" s="8"/>
      <c r="C3" s="19">
        <v>44927.0</v>
      </c>
      <c r="D3" s="19">
        <v>44958.0</v>
      </c>
      <c r="E3" s="19">
        <v>44986.0</v>
      </c>
      <c r="F3" s="19">
        <v>45017.0</v>
      </c>
      <c r="G3" s="19">
        <v>45047.0</v>
      </c>
      <c r="H3" s="19">
        <v>45078.0</v>
      </c>
      <c r="I3" s="19">
        <v>45108.0</v>
      </c>
      <c r="J3" s="19">
        <v>45139.0</v>
      </c>
      <c r="K3" s="19">
        <v>45170.0</v>
      </c>
      <c r="L3" s="19">
        <v>45200.0</v>
      </c>
      <c r="M3" s="19">
        <v>45231.0</v>
      </c>
      <c r="N3" s="19">
        <v>45261.0</v>
      </c>
      <c r="O3" s="8"/>
    </row>
    <row r="4">
      <c r="A4" s="11" t="s">
        <v>73</v>
      </c>
      <c r="B4" s="12"/>
      <c r="C4" s="13">
        <f t="shared" ref="C4:N4" si="1">SUM(C5:C9)</f>
        <v>0</v>
      </c>
      <c r="D4" s="13">
        <f t="shared" si="1"/>
        <v>0</v>
      </c>
      <c r="E4" s="13">
        <f t="shared" si="1"/>
        <v>0</v>
      </c>
      <c r="F4" s="13">
        <f t="shared" si="1"/>
        <v>0</v>
      </c>
      <c r="G4" s="13">
        <f t="shared" si="1"/>
        <v>0</v>
      </c>
      <c r="H4" s="13">
        <f t="shared" si="1"/>
        <v>0</v>
      </c>
      <c r="I4" s="13">
        <f t="shared" si="1"/>
        <v>0</v>
      </c>
      <c r="J4" s="13">
        <f t="shared" si="1"/>
        <v>0</v>
      </c>
      <c r="K4" s="13">
        <f t="shared" si="1"/>
        <v>0</v>
      </c>
      <c r="L4" s="13">
        <f t="shared" si="1"/>
        <v>0</v>
      </c>
      <c r="M4" s="13">
        <f t="shared" si="1"/>
        <v>0</v>
      </c>
      <c r="N4" s="13">
        <f t="shared" si="1"/>
        <v>0</v>
      </c>
      <c r="O4" s="13">
        <f t="shared" ref="O4:O9" si="2">SUM(C4:N4)</f>
        <v>0</v>
      </c>
    </row>
    <row r="5">
      <c r="A5" s="14" t="s">
        <v>74</v>
      </c>
      <c r="B5" s="8"/>
      <c r="C5" s="15">
        <f>SUMIFS('2023-2024 Tracker'!$K$2:$K$5000,'2023-2024 Tracker'!$A$2:$A$5000,"&gt;="&amp;C3,'2023-2024 Tracker'!$A$2:$A$5000,"&lt;="&amp;EOMONTH(C3,0),'2023-2024 Tracker'!$B$2:$B$5000,"Income",'2023-2024 Tracker'!$C$2:$C$5000,"Project payments")</f>
        <v>0</v>
      </c>
      <c r="D5" s="15">
        <f>SUMIFS('2023-2024 Tracker'!$K$2:$K$5000,'2023-2024 Tracker'!$A$2:$A$5000,"&gt;="&amp;D3,'2023-2024 Tracker'!$A$2:$A$5000,"&lt;="&amp;EOMONTH(D3,0),'2023-2024 Tracker'!$B$2:$B$5000,"Income",'2023-2024 Tracker'!$C$2:$C$5000,"Project payments")</f>
        <v>0</v>
      </c>
      <c r="E5" s="15">
        <f>SUMIFS('2023-2024 Tracker'!$K$2:$K$5000,'2023-2024 Tracker'!$A$2:$A$5000,"&gt;="&amp;E3,'2023-2024 Tracker'!$A$2:$A$5000,"&lt;="&amp;EOMONTH(E3,0),'2023-2024 Tracker'!$B$2:$B$5000,"Income",'2023-2024 Tracker'!$C$2:$C$5000,"Project payments")</f>
        <v>0</v>
      </c>
      <c r="F5" s="15">
        <f>SUMIFS('2023-2024 Tracker'!$K$2:$K$5000,'2023-2024 Tracker'!$A$2:$A$5000,"&gt;="&amp;F3,'2023-2024 Tracker'!$A$2:$A$5000,"&lt;="&amp;EOMONTH(F3,0),'2023-2024 Tracker'!$B$2:$B$5000,"Income",'2023-2024 Tracker'!$C$2:$C$5000,"Project payments")</f>
        <v>0</v>
      </c>
      <c r="G5" s="15">
        <f>SUMIFS('2023-2024 Tracker'!$K$2:$K$5000,'2023-2024 Tracker'!$A$2:$A$5000,"&gt;="&amp;G3,'2023-2024 Tracker'!$A$2:$A$5000,"&lt;="&amp;EOMONTH(G3,0),'2023-2024 Tracker'!$B$2:$B$5000,"Income",'2023-2024 Tracker'!$C$2:$C$5000,"Project payments")</f>
        <v>0</v>
      </c>
      <c r="H5" s="15">
        <f>SUMIFS('2023-2024 Tracker'!$K$2:$K$5000,'2023-2024 Tracker'!$A$2:$A$5000,"&gt;="&amp;H3,'2023-2024 Tracker'!$A$2:$A$5000,"&lt;="&amp;EOMONTH(H3,0),'2023-2024 Tracker'!$B$2:$B$5000,"Income",'2023-2024 Tracker'!$C$2:$C$5000,"Project payments")</f>
        <v>0</v>
      </c>
      <c r="I5" s="15">
        <f>SUMIFS('2023-2024 Tracker'!$K$2:$K$5000,'2023-2024 Tracker'!$A$2:$A$5000,"&gt;="&amp;I3,'2023-2024 Tracker'!$A$2:$A$5000,"&lt;="&amp;EOMONTH(I3,0),'2023-2024 Tracker'!$B$2:$B$5000,"Income",'2023-2024 Tracker'!$C$2:$C$5000,"Project payments")</f>
        <v>0</v>
      </c>
      <c r="J5" s="15">
        <f>SUMIFS('2023-2024 Tracker'!$K$2:$K$5000,'2023-2024 Tracker'!$A$2:$A$5000,"&gt;="&amp;J3,'2023-2024 Tracker'!$A$2:$A$5000,"&lt;="&amp;EOMONTH(J3,0),'2023-2024 Tracker'!$B$2:$B$5000,"Income",'2023-2024 Tracker'!$C$2:$C$5000,"Project payments")</f>
        <v>0</v>
      </c>
      <c r="K5" s="15">
        <f>SUMIFS('2023-2024 Tracker'!$K$2:$K$5000,'2023-2024 Tracker'!$A$2:$A$5000,"&gt;="&amp;K3,'2023-2024 Tracker'!$A$2:$A$5000,"&lt;="&amp;EOMONTH(K3,0),'2023-2024 Tracker'!$B$2:$B$5000,"Income",'2023-2024 Tracker'!$C$2:$C$5000,"Project payments")</f>
        <v>0</v>
      </c>
      <c r="L5" s="15">
        <f>SUMIFS('2023-2024 Tracker'!$K$2:$K$5000,'2023-2024 Tracker'!$A$2:$A$5000,"&gt;="&amp;L3,'2023-2024 Tracker'!$A$2:$A$5000,"&lt;="&amp;EOMONTH(L3,0),'2023-2024 Tracker'!$B$2:$B$5000,"Income",'2023-2024 Tracker'!$C$2:$C$5000,"Project payments")</f>
        <v>0</v>
      </c>
      <c r="M5" s="15">
        <f>SUMIFS('2023-2024 Tracker'!$K$2:$K$5000,'2023-2024 Tracker'!$A$2:$A$5000,"&gt;="&amp;M3,'2023-2024 Tracker'!$A$2:$A$5000,"&lt;="&amp;EOMONTH(M3,0),'2023-2024 Tracker'!$B$2:$B$5000,"Income",'2023-2024 Tracker'!$C$2:$C$5000,"Project payments")</f>
        <v>0</v>
      </c>
      <c r="N5" s="15">
        <f>SUMIFS('2023-2024 Tracker'!$K$2:$K$5000,'2023-2024 Tracker'!$A$2:$A$5000,"&gt;="&amp;N3,'2023-2024 Tracker'!$A$2:$A$5000,"&lt;="&amp;EOMONTH(N3,0),'2023-2024 Tracker'!$B$2:$B$5000,"Income",'2023-2024 Tracker'!$C$2:$C$5000,"Project payments")</f>
        <v>0</v>
      </c>
      <c r="O5" s="16">
        <f t="shared" si="2"/>
        <v>0</v>
      </c>
    </row>
    <row r="6">
      <c r="A6" s="14" t="s">
        <v>75</v>
      </c>
      <c r="B6" s="8"/>
      <c r="C6" s="15">
        <f>SUMIFS('2023-2024 Tracker'!$K$2:$K$5000,'2023-2024 Tracker'!$A$2:$A$5000,"&gt;="&amp;C3,'2023-2024 Tracker'!$A$2:$A$5000,"&lt;="&amp;EOMONTH(C3,0),'2023-2024 Tracker'!$B$2:$B$5000,"Income",'2023-2024 Tracker'!$C$2:$C$5000,"Retainers")</f>
        <v>0</v>
      </c>
      <c r="D6" s="15">
        <f>SUMIFS('2023-2024 Tracker'!$K$2:$K$5000,'2023-2024 Tracker'!$A$2:$A$5000,"&gt;="&amp;D3,'2023-2024 Tracker'!$A$2:$A$5000,"&lt;="&amp;EOMONTH(D3,0),'2023-2024 Tracker'!$B$2:$B$5000,"Income",'2023-2024 Tracker'!$C$2:$C$5000,"Retainers")</f>
        <v>0</v>
      </c>
      <c r="E6" s="15">
        <f>SUMIFS('2023-2024 Tracker'!$K$2:$K$5000,'2023-2024 Tracker'!$A$2:$A$5000,"&gt;="&amp;E3,'2023-2024 Tracker'!$A$2:$A$5000,"&lt;="&amp;EOMONTH(E3,0),'2023-2024 Tracker'!$B$2:$B$5000,"Income",'2023-2024 Tracker'!$C$2:$C$5000,"Retainers")</f>
        <v>0</v>
      </c>
      <c r="F6" s="15">
        <f>SUMIFS('2023-2024 Tracker'!$K$2:$K$5000,'2023-2024 Tracker'!$A$2:$A$5000,"&gt;="&amp;F3,'2023-2024 Tracker'!$A$2:$A$5000,"&lt;="&amp;EOMONTH(F3,0),'2023-2024 Tracker'!$B$2:$B$5000,"Income",'2023-2024 Tracker'!$C$2:$C$5000,"Retainers")</f>
        <v>0</v>
      </c>
      <c r="G6" s="15">
        <f>SUMIFS('2023-2024 Tracker'!$K$2:$K$5000,'2023-2024 Tracker'!$A$2:$A$5000,"&gt;="&amp;G3,'2023-2024 Tracker'!$A$2:$A$5000,"&lt;="&amp;EOMONTH(G3,0),'2023-2024 Tracker'!$B$2:$B$5000,"Income",'2023-2024 Tracker'!$C$2:$C$5000,"Retainers")</f>
        <v>0</v>
      </c>
      <c r="H6" s="15">
        <f>SUMIFS('2023-2024 Tracker'!$K$2:$K$5000,'2023-2024 Tracker'!$A$2:$A$5000,"&gt;="&amp;H3,'2023-2024 Tracker'!$A$2:$A$5000,"&lt;="&amp;EOMONTH(H3,0),'2023-2024 Tracker'!$B$2:$B$5000,"Income",'2023-2024 Tracker'!$C$2:$C$5000,"Retainers")</f>
        <v>0</v>
      </c>
      <c r="I6" s="15">
        <f>SUMIFS('2023-2024 Tracker'!$K$2:$K$5000,'2023-2024 Tracker'!$A$2:$A$5000,"&gt;="&amp;I3,'2023-2024 Tracker'!$A$2:$A$5000,"&lt;="&amp;EOMONTH(I3,0),'2023-2024 Tracker'!$B$2:$B$5000,"Income",'2023-2024 Tracker'!$C$2:$C$5000,"Retainers")</f>
        <v>0</v>
      </c>
      <c r="J6" s="15">
        <f>SUMIFS('2023-2024 Tracker'!$K$2:$K$5000,'2023-2024 Tracker'!$A$2:$A$5000,"&gt;="&amp;J3,'2023-2024 Tracker'!$A$2:$A$5000,"&lt;="&amp;EOMONTH(J3,0),'2023-2024 Tracker'!$B$2:$B$5000,"Income",'2023-2024 Tracker'!$C$2:$C$5000,"Retainers")</f>
        <v>0</v>
      </c>
      <c r="K6" s="15">
        <f>SUMIFS('2023-2024 Tracker'!$K$2:$K$5000,'2023-2024 Tracker'!$A$2:$A$5000,"&gt;="&amp;K3,'2023-2024 Tracker'!$A$2:$A$5000,"&lt;="&amp;EOMONTH(K3,0),'2023-2024 Tracker'!$B$2:$B$5000,"Income",'2023-2024 Tracker'!$C$2:$C$5000,"Retainers")</f>
        <v>0</v>
      </c>
      <c r="L6" s="15">
        <f>SUMIFS('2023-2024 Tracker'!$K$2:$K$5000,'2023-2024 Tracker'!$A$2:$A$5000,"&gt;="&amp;L3,'2023-2024 Tracker'!$A$2:$A$5000,"&lt;="&amp;EOMONTH(L3,0),'2023-2024 Tracker'!$B$2:$B$5000,"Income",'2023-2024 Tracker'!$C$2:$C$5000,"Retainers")</f>
        <v>0</v>
      </c>
      <c r="M6" s="15">
        <f>SUMIFS('2023-2024 Tracker'!$K$2:$K$5000,'2023-2024 Tracker'!$A$2:$A$5000,"&gt;="&amp;M3,'2023-2024 Tracker'!$A$2:$A$5000,"&lt;="&amp;EOMONTH(M3,0),'2023-2024 Tracker'!$B$2:$B$5000,"Income",'2023-2024 Tracker'!$C$2:$C$5000,"Retainers")</f>
        <v>0</v>
      </c>
      <c r="N6" s="15">
        <f>SUMIFS('2023-2024 Tracker'!$K$2:$K$5000,'2023-2024 Tracker'!$A$2:$A$5000,"&gt;="&amp;N3,'2023-2024 Tracker'!$A$2:$A$5000,"&lt;="&amp;EOMONTH(N3,0),'2023-2024 Tracker'!$B$2:$B$5000,"Income",'2023-2024 Tracker'!$C$2:$C$5000,"Retainers")</f>
        <v>0</v>
      </c>
      <c r="O6" s="16">
        <f t="shared" si="2"/>
        <v>0</v>
      </c>
    </row>
    <row r="7">
      <c r="A7" s="14" t="s">
        <v>76</v>
      </c>
      <c r="B7" s="8"/>
      <c r="C7" s="15">
        <f>SUMIFS('2023-2024 Tracker'!$K$2:$K$5000,'2023-2024 Tracker'!$A$2:$A$5000,"&gt;="&amp;C3,'2023-2024 Tracker'!$A$2:$A$5000,"&lt;="&amp;EOMONTH(C3,0),'2023-2024 Tracker'!$B$2:$B$5000,"Income",'2023-2024 Tracker'!$C$2:$C$5000,"Grants")</f>
        <v>0</v>
      </c>
      <c r="D7" s="15">
        <f>SUMIFS('2023-2024 Tracker'!$K$2:$K$5000,'2023-2024 Tracker'!$A$2:$A$5000,"&gt;="&amp;D3,'2023-2024 Tracker'!$A$2:$A$5000,"&lt;="&amp;EOMONTH(D3,0),'2023-2024 Tracker'!$B$2:$B$5000,"Income",'2023-2024 Tracker'!$C$2:$C$5000,"Grants")</f>
        <v>0</v>
      </c>
      <c r="E7" s="15">
        <f>SUMIFS('2023-2024 Tracker'!$K$2:$K$5000,'2023-2024 Tracker'!$A$2:$A$5000,"&gt;="&amp;E3,'2023-2024 Tracker'!$A$2:$A$5000,"&lt;="&amp;EOMONTH(E3,0),'2023-2024 Tracker'!$B$2:$B$5000,"Income",'2023-2024 Tracker'!$C$2:$C$5000,"Grants")</f>
        <v>0</v>
      </c>
      <c r="F7" s="15">
        <f>SUMIFS('2023-2024 Tracker'!$K$2:$K$5000,'2023-2024 Tracker'!$A$2:$A$5000,"&gt;="&amp;F3,'2023-2024 Tracker'!$A$2:$A$5000,"&lt;="&amp;EOMONTH(F3,0),'2023-2024 Tracker'!$B$2:$B$5000,"Income",'2023-2024 Tracker'!$C$2:$C$5000,"Grants")</f>
        <v>0</v>
      </c>
      <c r="G7" s="15">
        <f>SUMIFS('2023-2024 Tracker'!$K$2:$K$5000,'2023-2024 Tracker'!$A$2:$A$5000,"&gt;="&amp;G3,'2023-2024 Tracker'!$A$2:$A$5000,"&lt;="&amp;EOMONTH(G3,0),'2023-2024 Tracker'!$B$2:$B$5000,"Income",'2023-2024 Tracker'!$C$2:$C$5000,"Grants")</f>
        <v>0</v>
      </c>
      <c r="H7" s="15">
        <f>SUMIFS('2023-2024 Tracker'!$K$2:$K$5000,'2023-2024 Tracker'!$A$2:$A$5000,"&gt;="&amp;H3,'2023-2024 Tracker'!$A$2:$A$5000,"&lt;="&amp;EOMONTH(H3,0),'2023-2024 Tracker'!$B$2:$B$5000,"Income",'2023-2024 Tracker'!$C$2:$C$5000,"Grants")</f>
        <v>0</v>
      </c>
      <c r="I7" s="15">
        <f>SUMIFS('2023-2024 Tracker'!$K$2:$K$5000,'2023-2024 Tracker'!$A$2:$A$5000,"&gt;="&amp;I3,'2023-2024 Tracker'!$A$2:$A$5000,"&lt;="&amp;EOMONTH(I3,0),'2023-2024 Tracker'!$B$2:$B$5000,"Income",'2023-2024 Tracker'!$C$2:$C$5000,"Grants")</f>
        <v>0</v>
      </c>
      <c r="J7" s="15">
        <f>SUMIFS('2023-2024 Tracker'!$K$2:$K$5000,'2023-2024 Tracker'!$A$2:$A$5000,"&gt;="&amp;J3,'2023-2024 Tracker'!$A$2:$A$5000,"&lt;="&amp;EOMONTH(J3,0),'2023-2024 Tracker'!$B$2:$B$5000,"Income",'2023-2024 Tracker'!$C$2:$C$5000,"Grants")</f>
        <v>0</v>
      </c>
      <c r="K7" s="15">
        <f>SUMIFS('2023-2024 Tracker'!$K$2:$K$5000,'2023-2024 Tracker'!$A$2:$A$5000,"&gt;="&amp;K3,'2023-2024 Tracker'!$A$2:$A$5000,"&lt;="&amp;EOMONTH(K3,0),'2023-2024 Tracker'!$B$2:$B$5000,"Income",'2023-2024 Tracker'!$C$2:$C$5000,"Grants")</f>
        <v>0</v>
      </c>
      <c r="L7" s="15">
        <f>SUMIFS('2023-2024 Tracker'!$K$2:$K$5000,'2023-2024 Tracker'!$A$2:$A$5000,"&gt;="&amp;L3,'2023-2024 Tracker'!$A$2:$A$5000,"&lt;="&amp;EOMONTH(L3,0),'2023-2024 Tracker'!$B$2:$B$5000,"Income",'2023-2024 Tracker'!$C$2:$C$5000,"Grants")</f>
        <v>0</v>
      </c>
      <c r="M7" s="15">
        <f>SUMIFS('2023-2024 Tracker'!$K$2:$K$5000,'2023-2024 Tracker'!$A$2:$A$5000,"&gt;="&amp;M3,'2023-2024 Tracker'!$A$2:$A$5000,"&lt;="&amp;EOMONTH(M3,0),'2023-2024 Tracker'!$B$2:$B$5000,"Income",'2023-2024 Tracker'!$C$2:$C$5000,"Grants")</f>
        <v>0</v>
      </c>
      <c r="N7" s="15">
        <f>SUMIFS('2023-2024 Tracker'!$K$2:$K$5000,'2023-2024 Tracker'!$A$2:$A$5000,"&gt;="&amp;N3,'2023-2024 Tracker'!$A$2:$A$5000,"&lt;="&amp;EOMONTH(N3,0),'2023-2024 Tracker'!$B$2:$B$5000,"Income",'2023-2024 Tracker'!$C$2:$C$5000,"Grants")</f>
        <v>0</v>
      </c>
      <c r="O7" s="16">
        <f t="shared" si="2"/>
        <v>0</v>
      </c>
    </row>
    <row r="8">
      <c r="A8" s="14" t="s">
        <v>77</v>
      </c>
      <c r="B8" s="8"/>
      <c r="C8" s="15">
        <f>SUMIFS('2023-2024 Tracker'!$K$2:$K$5000,'2023-2024 Tracker'!$A$2:$A$5000,"&gt;="&amp;C3,'2023-2024 Tracker'!$A$2:$A$5000,"&lt;="&amp;EOMONTH(C3,0),'2023-2024 Tracker'!$B$2:$B$5000,"Income",'2023-2024 Tracker'!$C$2:$C$5000,"Consulting/Services")</f>
        <v>0</v>
      </c>
      <c r="D8" s="15">
        <f>SUMIFS('2023-2024 Tracker'!$K$2:$K$5000,'2023-2024 Tracker'!$A$2:$A$5000,"&gt;="&amp;D3,'2023-2024 Tracker'!$A$2:$A$5000,"&lt;="&amp;EOMONTH(D3,0),'2023-2024 Tracker'!$B$2:$B$5000,"Income",'2023-2024 Tracker'!$C$2:$C$5000,"Consulting/Services")</f>
        <v>0</v>
      </c>
      <c r="E8" s="15">
        <f>SUMIFS('2023-2024 Tracker'!$K$2:$K$5000,'2023-2024 Tracker'!$A$2:$A$5000,"&gt;="&amp;E3,'2023-2024 Tracker'!$A$2:$A$5000,"&lt;="&amp;EOMONTH(E3,0),'2023-2024 Tracker'!$B$2:$B$5000,"Income",'2023-2024 Tracker'!$C$2:$C$5000,"Consulting/Services")</f>
        <v>0</v>
      </c>
      <c r="F8" s="15">
        <f>SUMIFS('2023-2024 Tracker'!$K$2:$K$5000,'2023-2024 Tracker'!$A$2:$A$5000,"&gt;="&amp;F3,'2023-2024 Tracker'!$A$2:$A$5000,"&lt;="&amp;EOMONTH(F3,0),'2023-2024 Tracker'!$B$2:$B$5000,"Income",'2023-2024 Tracker'!$C$2:$C$5000,"Consulting/Services")</f>
        <v>0</v>
      </c>
      <c r="G8" s="15">
        <f>SUMIFS('2023-2024 Tracker'!$K$2:$K$5000,'2023-2024 Tracker'!$A$2:$A$5000,"&gt;="&amp;G3,'2023-2024 Tracker'!$A$2:$A$5000,"&lt;="&amp;EOMONTH(G3,0),'2023-2024 Tracker'!$B$2:$B$5000,"Income",'2023-2024 Tracker'!$C$2:$C$5000,"Consulting/Services")</f>
        <v>0</v>
      </c>
      <c r="H8" s="15">
        <f>SUMIFS('2023-2024 Tracker'!$K$2:$K$5000,'2023-2024 Tracker'!$A$2:$A$5000,"&gt;="&amp;H3,'2023-2024 Tracker'!$A$2:$A$5000,"&lt;="&amp;EOMONTH(H3,0),'2023-2024 Tracker'!$B$2:$B$5000,"Income",'2023-2024 Tracker'!$C$2:$C$5000,"Consulting/Services")</f>
        <v>0</v>
      </c>
      <c r="I8" s="15">
        <f>SUMIFS('2023-2024 Tracker'!$K$2:$K$5000,'2023-2024 Tracker'!$A$2:$A$5000,"&gt;="&amp;I3,'2023-2024 Tracker'!$A$2:$A$5000,"&lt;="&amp;EOMONTH(I3,0),'2023-2024 Tracker'!$B$2:$B$5000,"Income",'2023-2024 Tracker'!$C$2:$C$5000,"Consulting/Services")</f>
        <v>0</v>
      </c>
      <c r="J8" s="15">
        <f>SUMIFS('2023-2024 Tracker'!$K$2:$K$5000,'2023-2024 Tracker'!$A$2:$A$5000,"&gt;="&amp;J3,'2023-2024 Tracker'!$A$2:$A$5000,"&lt;="&amp;EOMONTH(J3,0),'2023-2024 Tracker'!$B$2:$B$5000,"Income",'2023-2024 Tracker'!$C$2:$C$5000,"Consulting/Services")</f>
        <v>0</v>
      </c>
      <c r="K8" s="15">
        <f>SUMIFS('2023-2024 Tracker'!$K$2:$K$5000,'2023-2024 Tracker'!$A$2:$A$5000,"&gt;="&amp;K3,'2023-2024 Tracker'!$A$2:$A$5000,"&lt;="&amp;EOMONTH(K3,0),'2023-2024 Tracker'!$B$2:$B$5000,"Income",'2023-2024 Tracker'!$C$2:$C$5000,"Consulting/Services")</f>
        <v>0</v>
      </c>
      <c r="L8" s="15">
        <f>SUMIFS('2023-2024 Tracker'!$K$2:$K$5000,'2023-2024 Tracker'!$A$2:$A$5000,"&gt;="&amp;L3,'2023-2024 Tracker'!$A$2:$A$5000,"&lt;="&amp;EOMONTH(L3,0),'2023-2024 Tracker'!$B$2:$B$5000,"Income",'2023-2024 Tracker'!$C$2:$C$5000,"Consulting/Services")</f>
        <v>0</v>
      </c>
      <c r="M8" s="15">
        <f>SUMIFS('2023-2024 Tracker'!$K$2:$K$5000,'2023-2024 Tracker'!$A$2:$A$5000,"&gt;="&amp;M3,'2023-2024 Tracker'!$A$2:$A$5000,"&lt;="&amp;EOMONTH(M3,0),'2023-2024 Tracker'!$B$2:$B$5000,"Income",'2023-2024 Tracker'!$C$2:$C$5000,"Consulting/Services")</f>
        <v>0</v>
      </c>
      <c r="N8" s="15">
        <f>SUMIFS('2023-2024 Tracker'!$K$2:$K$5000,'2023-2024 Tracker'!$A$2:$A$5000,"&gt;="&amp;N3,'2023-2024 Tracker'!$A$2:$A$5000,"&lt;="&amp;EOMONTH(N3,0),'2023-2024 Tracker'!$B$2:$B$5000,"Income",'2023-2024 Tracker'!$C$2:$C$5000,"Consulting/Services")</f>
        <v>0</v>
      </c>
      <c r="O8" s="16">
        <f t="shared" si="2"/>
        <v>0</v>
      </c>
    </row>
    <row r="9">
      <c r="A9" s="14" t="s">
        <v>78</v>
      </c>
      <c r="B9" s="8"/>
      <c r="C9" s="15">
        <f>SUMIFS('2023-2024 Tracker'!$K$2:$K$5000,'2023-2024 Tracker'!$A$2:$A$5000,"&gt;="&amp;C3,'2023-2024 Tracker'!$A$2:$A$5000,"&lt;="&amp;EOMONTH(C3,0),'2023-2024 Tracker'!$B$2:$B$5000,"Income",'2023-2024 Tracker'!$C$2:$C$5000,"Other income")</f>
        <v>0</v>
      </c>
      <c r="D9" s="15">
        <f>SUMIFS('2023-2024 Tracker'!$K$2:$K$5000,'2023-2024 Tracker'!$A$2:$A$5000,"&gt;="&amp;D3,'2023-2024 Tracker'!$A$2:$A$5000,"&lt;="&amp;EOMONTH(D3,0),'2023-2024 Tracker'!$B$2:$B$5000,"Income",'2023-2024 Tracker'!$C$2:$C$5000,"Other income")</f>
        <v>0</v>
      </c>
      <c r="E9" s="15">
        <f>SUMIFS('2023-2024 Tracker'!$K$2:$K$5000,'2023-2024 Tracker'!$A$2:$A$5000,"&gt;="&amp;E3,'2023-2024 Tracker'!$A$2:$A$5000,"&lt;="&amp;EOMONTH(E3,0),'2023-2024 Tracker'!$B$2:$B$5000,"Income",'2023-2024 Tracker'!$C$2:$C$5000,"Other income")</f>
        <v>0</v>
      </c>
      <c r="F9" s="15">
        <f>SUMIFS('2023-2024 Tracker'!$K$2:$K$5000,'2023-2024 Tracker'!$A$2:$A$5000,"&gt;="&amp;F3,'2023-2024 Tracker'!$A$2:$A$5000,"&lt;="&amp;EOMONTH(F3,0),'2023-2024 Tracker'!$B$2:$B$5000,"Income",'2023-2024 Tracker'!$C$2:$C$5000,"Other income")</f>
        <v>0</v>
      </c>
      <c r="G9" s="15">
        <f>SUMIFS('2023-2024 Tracker'!$K$2:$K$5000,'2023-2024 Tracker'!$A$2:$A$5000,"&gt;="&amp;G3,'2023-2024 Tracker'!$A$2:$A$5000,"&lt;="&amp;EOMONTH(G3,0),'2023-2024 Tracker'!$B$2:$B$5000,"Income",'2023-2024 Tracker'!$C$2:$C$5000,"Other income")</f>
        <v>0</v>
      </c>
      <c r="H9" s="15">
        <f>SUMIFS('2023-2024 Tracker'!$K$2:$K$5000,'2023-2024 Tracker'!$A$2:$A$5000,"&gt;="&amp;H3,'2023-2024 Tracker'!$A$2:$A$5000,"&lt;="&amp;EOMONTH(H3,0),'2023-2024 Tracker'!$B$2:$B$5000,"Income",'2023-2024 Tracker'!$C$2:$C$5000,"Other income")</f>
        <v>0</v>
      </c>
      <c r="I9" s="15">
        <f>SUMIFS('2023-2024 Tracker'!$K$2:$K$5000,'2023-2024 Tracker'!$A$2:$A$5000,"&gt;="&amp;I3,'2023-2024 Tracker'!$A$2:$A$5000,"&lt;="&amp;EOMONTH(I3,0),'2023-2024 Tracker'!$B$2:$B$5000,"Income",'2023-2024 Tracker'!$C$2:$C$5000,"Other income")</f>
        <v>0</v>
      </c>
      <c r="J9" s="15">
        <f>SUMIFS('2023-2024 Tracker'!$K$2:$K$5000,'2023-2024 Tracker'!$A$2:$A$5000,"&gt;="&amp;J3,'2023-2024 Tracker'!$A$2:$A$5000,"&lt;="&amp;EOMONTH(J3,0),'2023-2024 Tracker'!$B$2:$B$5000,"Income",'2023-2024 Tracker'!$C$2:$C$5000,"Other income")</f>
        <v>0</v>
      </c>
      <c r="K9" s="15">
        <f>SUMIFS('2023-2024 Tracker'!$K$2:$K$5000,'2023-2024 Tracker'!$A$2:$A$5000,"&gt;="&amp;K3,'2023-2024 Tracker'!$A$2:$A$5000,"&lt;="&amp;EOMONTH(K3,0),'2023-2024 Tracker'!$B$2:$B$5000,"Income",'2023-2024 Tracker'!$C$2:$C$5000,"Other income")</f>
        <v>0</v>
      </c>
      <c r="L9" s="15">
        <f>SUMIFS('2023-2024 Tracker'!$K$2:$K$5000,'2023-2024 Tracker'!$A$2:$A$5000,"&gt;="&amp;L3,'2023-2024 Tracker'!$A$2:$A$5000,"&lt;="&amp;EOMONTH(L3,0),'2023-2024 Tracker'!$B$2:$B$5000,"Income",'2023-2024 Tracker'!$C$2:$C$5000,"Other income")</f>
        <v>0</v>
      </c>
      <c r="M9" s="15">
        <f>SUMIFS('2023-2024 Tracker'!$K$2:$K$5000,'2023-2024 Tracker'!$A$2:$A$5000,"&gt;="&amp;M3,'2023-2024 Tracker'!$A$2:$A$5000,"&lt;="&amp;EOMONTH(M3,0),'2023-2024 Tracker'!$B$2:$B$5000,"Income",'2023-2024 Tracker'!$C$2:$C$5000,"Other income")</f>
        <v>0</v>
      </c>
      <c r="N9" s="15">
        <f>SUMIFS('2023-2024 Tracker'!$K$2:$K$5000,'2023-2024 Tracker'!$A$2:$A$5000,"&gt;="&amp;N3,'2023-2024 Tracker'!$A$2:$A$5000,"&lt;="&amp;EOMONTH(N3,0),'2023-2024 Tracker'!$B$2:$B$5000,"Income",'2023-2024 Tracker'!$C$2:$C$5000,"Other income")</f>
        <v>0</v>
      </c>
      <c r="O9" s="16">
        <f t="shared" si="2"/>
        <v>0</v>
      </c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>
      <c r="A11" s="11" t="s">
        <v>79</v>
      </c>
      <c r="B11" s="12"/>
      <c r="C11" s="13">
        <f t="shared" ref="C11:N11" si="3">C12+C19</f>
        <v>0</v>
      </c>
      <c r="D11" s="13">
        <f t="shared" si="3"/>
        <v>0</v>
      </c>
      <c r="E11" s="13">
        <f t="shared" si="3"/>
        <v>0</v>
      </c>
      <c r="F11" s="13">
        <f t="shared" si="3"/>
        <v>0</v>
      </c>
      <c r="G11" s="13">
        <f t="shared" si="3"/>
        <v>0</v>
      </c>
      <c r="H11" s="13">
        <f t="shared" si="3"/>
        <v>0</v>
      </c>
      <c r="I11" s="13">
        <f t="shared" si="3"/>
        <v>0</v>
      </c>
      <c r="J11" s="13">
        <f t="shared" si="3"/>
        <v>0</v>
      </c>
      <c r="K11" s="13">
        <f t="shared" si="3"/>
        <v>0</v>
      </c>
      <c r="L11" s="13">
        <f t="shared" si="3"/>
        <v>0</v>
      </c>
      <c r="M11" s="13">
        <f t="shared" si="3"/>
        <v>0</v>
      </c>
      <c r="N11" s="13">
        <f t="shared" si="3"/>
        <v>0</v>
      </c>
      <c r="O11" s="13">
        <f t="shared" ref="O11:O16" si="5">SUM(C11:N11)</f>
        <v>0</v>
      </c>
    </row>
    <row r="12">
      <c r="A12" s="17" t="s">
        <v>80</v>
      </c>
      <c r="B12" s="8"/>
      <c r="C12" s="15">
        <f t="shared" ref="C12:N12" si="4">SUM(C13:C17)</f>
        <v>0</v>
      </c>
      <c r="D12" s="15">
        <f t="shared" si="4"/>
        <v>0</v>
      </c>
      <c r="E12" s="15">
        <f t="shared" si="4"/>
        <v>0</v>
      </c>
      <c r="F12" s="15">
        <f t="shared" si="4"/>
        <v>0</v>
      </c>
      <c r="G12" s="15">
        <f t="shared" si="4"/>
        <v>0</v>
      </c>
      <c r="H12" s="15">
        <f t="shared" si="4"/>
        <v>0</v>
      </c>
      <c r="I12" s="15">
        <f t="shared" si="4"/>
        <v>0</v>
      </c>
      <c r="J12" s="15">
        <f t="shared" si="4"/>
        <v>0</v>
      </c>
      <c r="K12" s="15">
        <f t="shared" si="4"/>
        <v>0</v>
      </c>
      <c r="L12" s="15">
        <f t="shared" si="4"/>
        <v>0</v>
      </c>
      <c r="M12" s="15">
        <f t="shared" si="4"/>
        <v>0</v>
      </c>
      <c r="N12" s="15">
        <f t="shared" si="4"/>
        <v>0</v>
      </c>
      <c r="O12" s="18">
        <f t="shared" si="5"/>
        <v>0</v>
      </c>
    </row>
    <row r="13">
      <c r="A13" s="14" t="s">
        <v>81</v>
      </c>
      <c r="B13" s="8"/>
      <c r="C13" s="15">
        <f>SUMIFS('2023-2024 Tracker'!$K$2:$K$5000,'2023-2024 Tracker'!$A$2:$A$5000,"&gt;="&amp;C3,'2023-2024 Tracker'!$A$2:$A$5000,"&lt;="&amp;EOMONTH(C3,0),'2023-2024 Tracker'!$B$2:$B$5000,"Expense",'2023-2024 Tracker'!$C$2:$C$5000,"Fixed costs",'2023-2024 Tracker'!$D$2:$D$5000,"Obsidian Publish")</f>
        <v>0</v>
      </c>
      <c r="D13" s="15">
        <f>SUMIFS('2023-2024 Tracker'!$K$2:$K$5000,'2023-2024 Tracker'!$A$2:$A$5000,"&gt;="&amp;D3,'2023-2024 Tracker'!$A$2:$A$5000,"&lt;="&amp;EOMONTH(D3,0),'2023-2024 Tracker'!$B$2:$B$5000,"Expense",'2023-2024 Tracker'!$C$2:$C$5000,"Fixed costs",'2023-2024 Tracker'!$D$2:$D$5000,"Obsidian Publish")</f>
        <v>0</v>
      </c>
      <c r="E13" s="15">
        <f>SUMIFS('2023-2024 Tracker'!$K$2:$K$5000,'2023-2024 Tracker'!$A$2:$A$5000,"&gt;="&amp;E3,'2023-2024 Tracker'!$A$2:$A$5000,"&lt;="&amp;EOMONTH(E3,0),'2023-2024 Tracker'!$B$2:$B$5000,"Expense",'2023-2024 Tracker'!$C$2:$C$5000,"Fixed costs",'2023-2024 Tracker'!$D$2:$D$5000,"Obsidian Publish")</f>
        <v>0</v>
      </c>
      <c r="F13" s="15">
        <f>SUMIFS('2023-2024 Tracker'!$K$2:$K$5000,'2023-2024 Tracker'!$A$2:$A$5000,"&gt;="&amp;F3,'2023-2024 Tracker'!$A$2:$A$5000,"&lt;="&amp;EOMONTH(F3,0),'2023-2024 Tracker'!$B$2:$B$5000,"Expense",'2023-2024 Tracker'!$C$2:$C$5000,"Fixed costs",'2023-2024 Tracker'!$D$2:$D$5000,"Obsidian Publish")</f>
        <v>0</v>
      </c>
      <c r="G13" s="15">
        <f>SUMIFS('2023-2024 Tracker'!$K$2:$K$5000,'2023-2024 Tracker'!$A$2:$A$5000,"&gt;="&amp;G3,'2023-2024 Tracker'!$A$2:$A$5000,"&lt;="&amp;EOMONTH(G3,0),'2023-2024 Tracker'!$B$2:$B$5000,"Expense",'2023-2024 Tracker'!$C$2:$C$5000,"Fixed costs",'2023-2024 Tracker'!$D$2:$D$5000,"Obsidian Publish")</f>
        <v>0</v>
      </c>
      <c r="H13" s="15">
        <f>SUMIFS('2023-2024 Tracker'!$K$2:$K$5000,'2023-2024 Tracker'!$A$2:$A$5000,"&gt;="&amp;H3,'2023-2024 Tracker'!$A$2:$A$5000,"&lt;="&amp;EOMONTH(H3,0),'2023-2024 Tracker'!$B$2:$B$5000,"Expense",'2023-2024 Tracker'!$C$2:$C$5000,"Fixed costs",'2023-2024 Tracker'!$D$2:$D$5000,"Obsidian Publish")</f>
        <v>0</v>
      </c>
      <c r="I13" s="15">
        <f>SUMIFS('2023-2024 Tracker'!$K$2:$K$5000,'2023-2024 Tracker'!$A$2:$A$5000,"&gt;="&amp;I3,'2023-2024 Tracker'!$A$2:$A$5000,"&lt;="&amp;EOMONTH(I3,0),'2023-2024 Tracker'!$B$2:$B$5000,"Expense",'2023-2024 Tracker'!$C$2:$C$5000,"Fixed costs",'2023-2024 Tracker'!$D$2:$D$5000,"Obsidian Publish")</f>
        <v>0</v>
      </c>
      <c r="J13" s="15">
        <f>SUMIFS('2023-2024 Tracker'!$K$2:$K$5000,'2023-2024 Tracker'!$A$2:$A$5000,"&gt;="&amp;J3,'2023-2024 Tracker'!$A$2:$A$5000,"&lt;="&amp;EOMONTH(J3,0),'2023-2024 Tracker'!$B$2:$B$5000,"Expense",'2023-2024 Tracker'!$C$2:$C$5000,"Fixed costs",'2023-2024 Tracker'!$D$2:$D$5000,"Obsidian Publish")</f>
        <v>0</v>
      </c>
      <c r="K13" s="15">
        <f>SUMIFS('2023-2024 Tracker'!$K$2:$K$5000,'2023-2024 Tracker'!$A$2:$A$5000,"&gt;="&amp;K3,'2023-2024 Tracker'!$A$2:$A$5000,"&lt;="&amp;EOMONTH(K3,0),'2023-2024 Tracker'!$B$2:$B$5000,"Expense",'2023-2024 Tracker'!$C$2:$C$5000,"Fixed costs",'2023-2024 Tracker'!$D$2:$D$5000,"Obsidian Publish")</f>
        <v>0</v>
      </c>
      <c r="L13" s="15">
        <f>SUMIFS('2023-2024 Tracker'!$K$2:$K$5000,'2023-2024 Tracker'!$A$2:$A$5000,"&gt;="&amp;L3,'2023-2024 Tracker'!$A$2:$A$5000,"&lt;="&amp;EOMONTH(L3,0),'2023-2024 Tracker'!$B$2:$B$5000,"Expense",'2023-2024 Tracker'!$C$2:$C$5000,"Fixed costs",'2023-2024 Tracker'!$D$2:$D$5000,"Obsidian Publish")</f>
        <v>0</v>
      </c>
      <c r="M13" s="15">
        <f>SUMIFS('2023-2024 Tracker'!$K$2:$K$5000,'2023-2024 Tracker'!$A$2:$A$5000,"&gt;="&amp;M3,'2023-2024 Tracker'!$A$2:$A$5000,"&lt;="&amp;EOMONTH(M3,0),'2023-2024 Tracker'!$B$2:$B$5000,"Expense",'2023-2024 Tracker'!$C$2:$C$5000,"Fixed costs",'2023-2024 Tracker'!$D$2:$D$5000,"Obsidian Publish")</f>
        <v>0</v>
      </c>
      <c r="N13" s="15">
        <f>SUMIFS('2023-2024 Tracker'!$K$2:$K$5000,'2023-2024 Tracker'!$A$2:$A$5000,"&gt;="&amp;N3,'2023-2024 Tracker'!$A$2:$A$5000,"&lt;="&amp;EOMONTH(N3,0),'2023-2024 Tracker'!$B$2:$B$5000,"Expense",'2023-2024 Tracker'!$C$2:$C$5000,"Fixed costs",'2023-2024 Tracker'!$D$2:$D$5000,"Obsidian Publish")</f>
        <v>0</v>
      </c>
      <c r="O13" s="16">
        <f t="shared" si="5"/>
        <v>0</v>
      </c>
    </row>
    <row r="14">
      <c r="A14" s="14" t="s">
        <v>82</v>
      </c>
      <c r="B14" s="8"/>
      <c r="C14" s="15">
        <f>SUMIFS('2023-2024 Tracker'!$K$2:$K$5000,'2023-2024 Tracker'!$A$2:$A$5000,"&gt;="&amp;C3,'2023-2024 Tracker'!$A$2:$A$5000,"&lt;="&amp;EOMONTH(C3,0),'2023-2024 Tracker'!$B$2:$B$5000,"Expense",'2023-2024 Tracker'!$C$2:$C$5000,"Fixed costs",'2023-2024 Tracker'!$D$2:$D$5000,"refibcn.cat domain")</f>
        <v>0</v>
      </c>
      <c r="D14" s="15">
        <f>SUMIFS('2023-2024 Tracker'!$K$2:$K$5000,'2023-2024 Tracker'!$A$2:$A$5000,"&gt;="&amp;D3,'2023-2024 Tracker'!$A$2:$A$5000,"&lt;="&amp;EOMONTH(D3,0),'2023-2024 Tracker'!$B$2:$B$5000,"Expense",'2023-2024 Tracker'!$C$2:$C$5000,"Fixed costs",'2023-2024 Tracker'!$D$2:$D$5000,"refibcn.cat domain")</f>
        <v>0</v>
      </c>
      <c r="E14" s="15">
        <f>SUMIFS('2023-2024 Tracker'!$K$2:$K$5000,'2023-2024 Tracker'!$A$2:$A$5000,"&gt;="&amp;E3,'2023-2024 Tracker'!$A$2:$A$5000,"&lt;="&amp;EOMONTH(E3,0),'2023-2024 Tracker'!$B$2:$B$5000,"Expense",'2023-2024 Tracker'!$C$2:$C$5000,"Fixed costs",'2023-2024 Tracker'!$D$2:$D$5000,"refibcn.cat domain")</f>
        <v>0</v>
      </c>
      <c r="F14" s="15">
        <f>SUMIFS('2023-2024 Tracker'!$K$2:$K$5000,'2023-2024 Tracker'!$A$2:$A$5000,"&gt;="&amp;F3,'2023-2024 Tracker'!$A$2:$A$5000,"&lt;="&amp;EOMONTH(F3,0),'2023-2024 Tracker'!$B$2:$B$5000,"Expense",'2023-2024 Tracker'!$C$2:$C$5000,"Fixed costs",'2023-2024 Tracker'!$D$2:$D$5000,"refibcn.cat domain")</f>
        <v>0</v>
      </c>
      <c r="G14" s="15">
        <f>SUMIFS('2023-2024 Tracker'!$K$2:$K$5000,'2023-2024 Tracker'!$A$2:$A$5000,"&gt;="&amp;G3,'2023-2024 Tracker'!$A$2:$A$5000,"&lt;="&amp;EOMONTH(G3,0),'2023-2024 Tracker'!$B$2:$B$5000,"Expense",'2023-2024 Tracker'!$C$2:$C$5000,"Fixed costs",'2023-2024 Tracker'!$D$2:$D$5000,"refibcn.cat domain")</f>
        <v>0</v>
      </c>
      <c r="H14" s="15">
        <f>SUMIFS('2023-2024 Tracker'!$K$2:$K$5000,'2023-2024 Tracker'!$A$2:$A$5000,"&gt;="&amp;H3,'2023-2024 Tracker'!$A$2:$A$5000,"&lt;="&amp;EOMONTH(H3,0),'2023-2024 Tracker'!$B$2:$B$5000,"Expense",'2023-2024 Tracker'!$C$2:$C$5000,"Fixed costs",'2023-2024 Tracker'!$D$2:$D$5000,"refibcn.cat domain")</f>
        <v>0</v>
      </c>
      <c r="I14" s="15">
        <f>SUMIFS('2023-2024 Tracker'!$K$2:$K$5000,'2023-2024 Tracker'!$A$2:$A$5000,"&gt;="&amp;I3,'2023-2024 Tracker'!$A$2:$A$5000,"&lt;="&amp;EOMONTH(I3,0),'2023-2024 Tracker'!$B$2:$B$5000,"Expense",'2023-2024 Tracker'!$C$2:$C$5000,"Fixed costs",'2023-2024 Tracker'!$D$2:$D$5000,"refibcn.cat domain")</f>
        <v>0</v>
      </c>
      <c r="J14" s="15">
        <f>SUMIFS('2023-2024 Tracker'!$K$2:$K$5000,'2023-2024 Tracker'!$A$2:$A$5000,"&gt;="&amp;J3,'2023-2024 Tracker'!$A$2:$A$5000,"&lt;="&amp;EOMONTH(J3,0),'2023-2024 Tracker'!$B$2:$B$5000,"Expense",'2023-2024 Tracker'!$C$2:$C$5000,"Fixed costs",'2023-2024 Tracker'!$D$2:$D$5000,"refibcn.cat domain")</f>
        <v>0</v>
      </c>
      <c r="K14" s="15">
        <f>SUMIFS('2023-2024 Tracker'!$K$2:$K$5000,'2023-2024 Tracker'!$A$2:$A$5000,"&gt;="&amp;K3,'2023-2024 Tracker'!$A$2:$A$5000,"&lt;="&amp;EOMONTH(K3,0),'2023-2024 Tracker'!$B$2:$B$5000,"Expense",'2023-2024 Tracker'!$C$2:$C$5000,"Fixed costs",'2023-2024 Tracker'!$D$2:$D$5000,"refibcn.cat domain")</f>
        <v>0</v>
      </c>
      <c r="L14" s="15">
        <f>SUMIFS('2023-2024 Tracker'!$K$2:$K$5000,'2023-2024 Tracker'!$A$2:$A$5000,"&gt;="&amp;L3,'2023-2024 Tracker'!$A$2:$A$5000,"&lt;="&amp;EOMONTH(L3,0),'2023-2024 Tracker'!$B$2:$B$5000,"Expense",'2023-2024 Tracker'!$C$2:$C$5000,"Fixed costs",'2023-2024 Tracker'!$D$2:$D$5000,"refibcn.cat domain")</f>
        <v>0</v>
      </c>
      <c r="M14" s="15">
        <f>SUMIFS('2023-2024 Tracker'!$K$2:$K$5000,'2023-2024 Tracker'!$A$2:$A$5000,"&gt;="&amp;M3,'2023-2024 Tracker'!$A$2:$A$5000,"&lt;="&amp;EOMONTH(M3,0),'2023-2024 Tracker'!$B$2:$B$5000,"Expense",'2023-2024 Tracker'!$C$2:$C$5000,"Fixed costs",'2023-2024 Tracker'!$D$2:$D$5000,"refibcn.cat domain")</f>
        <v>0</v>
      </c>
      <c r="N14" s="15">
        <f>SUMIFS('2023-2024 Tracker'!$K$2:$K$5000,'2023-2024 Tracker'!$A$2:$A$5000,"&gt;="&amp;N3,'2023-2024 Tracker'!$A$2:$A$5000,"&lt;="&amp;EOMONTH(N3,0),'2023-2024 Tracker'!$B$2:$B$5000,"Expense",'2023-2024 Tracker'!$C$2:$C$5000,"Fixed costs",'2023-2024 Tracker'!$D$2:$D$5000,"refibcn.cat domain")</f>
        <v>0</v>
      </c>
      <c r="O14" s="16">
        <f t="shared" si="5"/>
        <v>0</v>
      </c>
    </row>
    <row r="15">
      <c r="A15" s="14" t="s">
        <v>83</v>
      </c>
      <c r="B15" s="8"/>
      <c r="C15" s="15">
        <f>SUMIFS('2023-2024 Tracker'!$K$2:$K$5000,'2023-2024 Tracker'!$A$2:$A$5000,"&gt;="&amp;C3,'2023-2024 Tracker'!$A$2:$A$5000,"&lt;="&amp;EOMONTH(C3,0),'2023-2024 Tracker'!$B$2:$B$5000,"Expense",'2023-2024 Tracker'!$C$2:$C$5000,"Fixed costs",'2023-2024 Tracker'!$D$2:$D$5000,"Notion")</f>
        <v>0</v>
      </c>
      <c r="D15" s="15">
        <f>SUMIFS('2023-2024 Tracker'!$K$2:$K$5000,'2023-2024 Tracker'!$A$2:$A$5000,"&gt;="&amp;D3,'2023-2024 Tracker'!$A$2:$A$5000,"&lt;="&amp;EOMONTH(D3,0),'2023-2024 Tracker'!$B$2:$B$5000,"Expense",'2023-2024 Tracker'!$C$2:$C$5000,"Fixed costs",'2023-2024 Tracker'!$D$2:$D$5000,"Notion")</f>
        <v>0</v>
      </c>
      <c r="E15" s="15">
        <f>SUMIFS('2023-2024 Tracker'!$K$2:$K$5000,'2023-2024 Tracker'!$A$2:$A$5000,"&gt;="&amp;E3,'2023-2024 Tracker'!$A$2:$A$5000,"&lt;="&amp;EOMONTH(E3,0),'2023-2024 Tracker'!$B$2:$B$5000,"Expense",'2023-2024 Tracker'!$C$2:$C$5000,"Fixed costs",'2023-2024 Tracker'!$D$2:$D$5000,"Notion")</f>
        <v>0</v>
      </c>
      <c r="F15" s="15">
        <f>SUMIFS('2023-2024 Tracker'!$K$2:$K$5000,'2023-2024 Tracker'!$A$2:$A$5000,"&gt;="&amp;F3,'2023-2024 Tracker'!$A$2:$A$5000,"&lt;="&amp;EOMONTH(F3,0),'2023-2024 Tracker'!$B$2:$B$5000,"Expense",'2023-2024 Tracker'!$C$2:$C$5000,"Fixed costs",'2023-2024 Tracker'!$D$2:$D$5000,"Notion")</f>
        <v>0</v>
      </c>
      <c r="G15" s="15">
        <f>SUMIFS('2023-2024 Tracker'!$K$2:$K$5000,'2023-2024 Tracker'!$A$2:$A$5000,"&gt;="&amp;G3,'2023-2024 Tracker'!$A$2:$A$5000,"&lt;="&amp;EOMONTH(G3,0),'2023-2024 Tracker'!$B$2:$B$5000,"Expense",'2023-2024 Tracker'!$C$2:$C$5000,"Fixed costs",'2023-2024 Tracker'!$D$2:$D$5000,"Notion")</f>
        <v>0</v>
      </c>
      <c r="H15" s="15">
        <f>SUMIFS('2023-2024 Tracker'!$K$2:$K$5000,'2023-2024 Tracker'!$A$2:$A$5000,"&gt;="&amp;H3,'2023-2024 Tracker'!$A$2:$A$5000,"&lt;="&amp;EOMONTH(H3,0),'2023-2024 Tracker'!$B$2:$B$5000,"Expense",'2023-2024 Tracker'!$C$2:$C$5000,"Fixed costs",'2023-2024 Tracker'!$D$2:$D$5000,"Notion")</f>
        <v>0</v>
      </c>
      <c r="I15" s="15">
        <f>SUMIFS('2023-2024 Tracker'!$K$2:$K$5000,'2023-2024 Tracker'!$A$2:$A$5000,"&gt;="&amp;I3,'2023-2024 Tracker'!$A$2:$A$5000,"&lt;="&amp;EOMONTH(I3,0),'2023-2024 Tracker'!$B$2:$B$5000,"Expense",'2023-2024 Tracker'!$C$2:$C$5000,"Fixed costs",'2023-2024 Tracker'!$D$2:$D$5000,"Notion")</f>
        <v>0</v>
      </c>
      <c r="J15" s="15">
        <f>SUMIFS('2023-2024 Tracker'!$K$2:$K$5000,'2023-2024 Tracker'!$A$2:$A$5000,"&gt;="&amp;J3,'2023-2024 Tracker'!$A$2:$A$5000,"&lt;="&amp;EOMONTH(J3,0),'2023-2024 Tracker'!$B$2:$B$5000,"Expense",'2023-2024 Tracker'!$C$2:$C$5000,"Fixed costs",'2023-2024 Tracker'!$D$2:$D$5000,"Notion")</f>
        <v>0</v>
      </c>
      <c r="K15" s="15">
        <f>SUMIFS('2023-2024 Tracker'!$K$2:$K$5000,'2023-2024 Tracker'!$A$2:$A$5000,"&gt;="&amp;K3,'2023-2024 Tracker'!$A$2:$A$5000,"&lt;="&amp;EOMONTH(K3,0),'2023-2024 Tracker'!$B$2:$B$5000,"Expense",'2023-2024 Tracker'!$C$2:$C$5000,"Fixed costs",'2023-2024 Tracker'!$D$2:$D$5000,"Notion")</f>
        <v>0</v>
      </c>
      <c r="L15" s="15">
        <f>SUMIFS('2023-2024 Tracker'!$K$2:$K$5000,'2023-2024 Tracker'!$A$2:$A$5000,"&gt;="&amp;L3,'2023-2024 Tracker'!$A$2:$A$5000,"&lt;="&amp;EOMONTH(L3,0),'2023-2024 Tracker'!$B$2:$B$5000,"Expense",'2023-2024 Tracker'!$C$2:$C$5000,"Fixed costs",'2023-2024 Tracker'!$D$2:$D$5000,"Notion")</f>
        <v>0</v>
      </c>
      <c r="M15" s="15">
        <f>SUMIFS('2023-2024 Tracker'!$K$2:$K$5000,'2023-2024 Tracker'!$A$2:$A$5000,"&gt;="&amp;M3,'2023-2024 Tracker'!$A$2:$A$5000,"&lt;="&amp;EOMONTH(M3,0),'2023-2024 Tracker'!$B$2:$B$5000,"Expense",'2023-2024 Tracker'!$C$2:$C$5000,"Fixed costs",'2023-2024 Tracker'!$D$2:$D$5000,"Notion")</f>
        <v>0</v>
      </c>
      <c r="N15" s="15">
        <f>SUMIFS('2023-2024 Tracker'!$K$2:$K$5000,'2023-2024 Tracker'!$A$2:$A$5000,"&gt;="&amp;N3,'2023-2024 Tracker'!$A$2:$A$5000,"&lt;="&amp;EOMONTH(N3,0),'2023-2024 Tracker'!$B$2:$B$5000,"Expense",'2023-2024 Tracker'!$C$2:$C$5000,"Fixed costs",'2023-2024 Tracker'!$D$2:$D$5000,"Notion")</f>
        <v>0</v>
      </c>
      <c r="O15" s="16">
        <f t="shared" si="5"/>
        <v>0</v>
      </c>
    </row>
    <row r="16">
      <c r="A16" s="14" t="s">
        <v>84</v>
      </c>
      <c r="B16" s="8"/>
      <c r="C16" s="15">
        <f>SUMIFS('2023-2024 Tracker'!$K$2:$K$5000,'2023-2024 Tracker'!$A$2:$A$5000,"&gt;="&amp;C3,'2023-2024 Tracker'!$A$2:$A$5000,"&lt;="&amp;EOMONTH(C3,0),'2023-2024 Tracker'!$B$2:$B$5000,"Expense",'2023-2024 Tracker'!$C$2:$C$5000,"Fixed costs",'2023-2024 Tracker'!$D$2:$D$5000,"Cursor Team")</f>
        <v>0</v>
      </c>
      <c r="D16" s="15">
        <f>SUMIFS('2023-2024 Tracker'!$K$2:$K$5000,'2023-2024 Tracker'!$A$2:$A$5000,"&gt;="&amp;D3,'2023-2024 Tracker'!$A$2:$A$5000,"&lt;="&amp;EOMONTH(D3,0),'2023-2024 Tracker'!$B$2:$B$5000,"Expense",'2023-2024 Tracker'!$C$2:$C$5000,"Fixed costs",'2023-2024 Tracker'!$D$2:$D$5000,"Cursor Team")</f>
        <v>0</v>
      </c>
      <c r="E16" s="15">
        <f>SUMIFS('2023-2024 Tracker'!$K$2:$K$5000,'2023-2024 Tracker'!$A$2:$A$5000,"&gt;="&amp;E3,'2023-2024 Tracker'!$A$2:$A$5000,"&lt;="&amp;EOMONTH(E3,0),'2023-2024 Tracker'!$B$2:$B$5000,"Expense",'2023-2024 Tracker'!$C$2:$C$5000,"Fixed costs",'2023-2024 Tracker'!$D$2:$D$5000,"Cursor Team")</f>
        <v>0</v>
      </c>
      <c r="F16" s="15">
        <f>SUMIFS('2023-2024 Tracker'!$K$2:$K$5000,'2023-2024 Tracker'!$A$2:$A$5000,"&gt;="&amp;F3,'2023-2024 Tracker'!$A$2:$A$5000,"&lt;="&amp;EOMONTH(F3,0),'2023-2024 Tracker'!$B$2:$B$5000,"Expense",'2023-2024 Tracker'!$C$2:$C$5000,"Fixed costs",'2023-2024 Tracker'!$D$2:$D$5000,"Cursor Team")</f>
        <v>0</v>
      </c>
      <c r="G16" s="15">
        <f>SUMIFS('2023-2024 Tracker'!$K$2:$K$5000,'2023-2024 Tracker'!$A$2:$A$5000,"&gt;="&amp;G3,'2023-2024 Tracker'!$A$2:$A$5000,"&lt;="&amp;EOMONTH(G3,0),'2023-2024 Tracker'!$B$2:$B$5000,"Expense",'2023-2024 Tracker'!$C$2:$C$5000,"Fixed costs",'2023-2024 Tracker'!$D$2:$D$5000,"Cursor Team")</f>
        <v>0</v>
      </c>
      <c r="H16" s="15">
        <f>SUMIFS('2023-2024 Tracker'!$K$2:$K$5000,'2023-2024 Tracker'!$A$2:$A$5000,"&gt;="&amp;H3,'2023-2024 Tracker'!$A$2:$A$5000,"&lt;="&amp;EOMONTH(H3,0),'2023-2024 Tracker'!$B$2:$B$5000,"Expense",'2023-2024 Tracker'!$C$2:$C$5000,"Fixed costs",'2023-2024 Tracker'!$D$2:$D$5000,"Cursor Team")</f>
        <v>0</v>
      </c>
      <c r="I16" s="15">
        <f>SUMIFS('2023-2024 Tracker'!$K$2:$K$5000,'2023-2024 Tracker'!$A$2:$A$5000,"&gt;="&amp;I3,'2023-2024 Tracker'!$A$2:$A$5000,"&lt;="&amp;EOMONTH(I3,0),'2023-2024 Tracker'!$B$2:$B$5000,"Expense",'2023-2024 Tracker'!$C$2:$C$5000,"Fixed costs",'2023-2024 Tracker'!$D$2:$D$5000,"Cursor Team")</f>
        <v>0</v>
      </c>
      <c r="J16" s="15">
        <f>SUMIFS('2023-2024 Tracker'!$K$2:$K$5000,'2023-2024 Tracker'!$A$2:$A$5000,"&gt;="&amp;J3,'2023-2024 Tracker'!$A$2:$A$5000,"&lt;="&amp;EOMONTH(J3,0),'2023-2024 Tracker'!$B$2:$B$5000,"Expense",'2023-2024 Tracker'!$C$2:$C$5000,"Fixed costs",'2023-2024 Tracker'!$D$2:$D$5000,"Cursor Team")</f>
        <v>0</v>
      </c>
      <c r="K16" s="15">
        <f>SUMIFS('2023-2024 Tracker'!$K$2:$K$5000,'2023-2024 Tracker'!$A$2:$A$5000,"&gt;="&amp;K3,'2023-2024 Tracker'!$A$2:$A$5000,"&lt;="&amp;EOMONTH(K3,0),'2023-2024 Tracker'!$B$2:$B$5000,"Expense",'2023-2024 Tracker'!$C$2:$C$5000,"Fixed costs",'2023-2024 Tracker'!$D$2:$D$5000,"Cursor Team")</f>
        <v>0</v>
      </c>
      <c r="L16" s="15">
        <f>SUMIFS('2023-2024 Tracker'!$K$2:$K$5000,'2023-2024 Tracker'!$A$2:$A$5000,"&gt;="&amp;L3,'2023-2024 Tracker'!$A$2:$A$5000,"&lt;="&amp;EOMONTH(L3,0),'2023-2024 Tracker'!$B$2:$B$5000,"Expense",'2023-2024 Tracker'!$C$2:$C$5000,"Fixed costs",'2023-2024 Tracker'!$D$2:$D$5000,"Cursor Team")</f>
        <v>0</v>
      </c>
      <c r="M16" s="15">
        <f>SUMIFS('2023-2024 Tracker'!$K$2:$K$5000,'2023-2024 Tracker'!$A$2:$A$5000,"&gt;="&amp;M3,'2023-2024 Tracker'!$A$2:$A$5000,"&lt;="&amp;EOMONTH(M3,0),'2023-2024 Tracker'!$B$2:$B$5000,"Expense",'2023-2024 Tracker'!$C$2:$C$5000,"Fixed costs",'2023-2024 Tracker'!$D$2:$D$5000,"Cursor Team")</f>
        <v>0</v>
      </c>
      <c r="N16" s="15">
        <f>SUMIFS('2023-2024 Tracker'!$K$2:$K$5000,'2023-2024 Tracker'!$A$2:$A$5000,"&gt;="&amp;N3,'2023-2024 Tracker'!$A$2:$A$5000,"&lt;="&amp;EOMONTH(N3,0),'2023-2024 Tracker'!$B$2:$B$5000,"Expense",'2023-2024 Tracker'!$C$2:$C$5000,"Fixed costs",'2023-2024 Tracker'!$D$2:$D$5000,"Cursor Team")</f>
        <v>0</v>
      </c>
      <c r="O16" s="16">
        <f t="shared" si="5"/>
        <v>0</v>
      </c>
    </row>
    <row r="17">
      <c r="A17" s="14" t="s">
        <v>85</v>
      </c>
      <c r="B17" s="8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>
      <c r="A19" s="17" t="s">
        <v>86</v>
      </c>
      <c r="B19" s="8"/>
      <c r="C19" s="15">
        <f t="shared" ref="C19:N19" si="6">SUM(C20:C27)</f>
        <v>0</v>
      </c>
      <c r="D19" s="15">
        <f t="shared" si="6"/>
        <v>0</v>
      </c>
      <c r="E19" s="15">
        <f t="shared" si="6"/>
        <v>0</v>
      </c>
      <c r="F19" s="15">
        <f t="shared" si="6"/>
        <v>0</v>
      </c>
      <c r="G19" s="15">
        <f t="shared" si="6"/>
        <v>0</v>
      </c>
      <c r="H19" s="15">
        <f t="shared" si="6"/>
        <v>0</v>
      </c>
      <c r="I19" s="15">
        <f t="shared" si="6"/>
        <v>0</v>
      </c>
      <c r="J19" s="15">
        <f t="shared" si="6"/>
        <v>0</v>
      </c>
      <c r="K19" s="15">
        <f t="shared" si="6"/>
        <v>0</v>
      </c>
      <c r="L19" s="15">
        <f t="shared" si="6"/>
        <v>0</v>
      </c>
      <c r="M19" s="15">
        <f t="shared" si="6"/>
        <v>0</v>
      </c>
      <c r="N19" s="15">
        <f t="shared" si="6"/>
        <v>0</v>
      </c>
      <c r="O19" s="18">
        <f t="shared" ref="O19:O27" si="7">SUM(C19:N19)</f>
        <v>0</v>
      </c>
    </row>
    <row r="20">
      <c r="A20" s="14" t="s">
        <v>87</v>
      </c>
      <c r="B20" s="8"/>
      <c r="C20" s="15">
        <f>SUMIFS('2023-2024 Tracker'!$K$2:$K$5000,'2023-2024 Tracker'!$A$2:$A$5000,"&gt;="&amp;C3,'2023-2024 Tracker'!$A$2:$A$5000,"&lt;="&amp;EOMONTH(C3,0),'2023-2024 Tracker'!$B$2:$B$5000,"Expense",'2023-2024 Tracker'!$C$2:$C$5000,"Project-specific expenses")</f>
        <v>0</v>
      </c>
      <c r="D20" s="15">
        <f>SUMIFS('2023-2024 Tracker'!$K$2:$K$5000,'2023-2024 Tracker'!$A$2:$A$5000,"&gt;="&amp;D3,'2023-2024 Tracker'!$A$2:$A$5000,"&lt;="&amp;EOMONTH(D3,0),'2023-2024 Tracker'!$B$2:$B$5000,"Expense",'2023-2024 Tracker'!$C$2:$C$5000,"Project-specific expenses")</f>
        <v>0</v>
      </c>
      <c r="E20" s="15">
        <f>SUMIFS('2023-2024 Tracker'!$K$2:$K$5000,'2023-2024 Tracker'!$A$2:$A$5000,"&gt;="&amp;E3,'2023-2024 Tracker'!$A$2:$A$5000,"&lt;="&amp;EOMONTH(E3,0),'2023-2024 Tracker'!$B$2:$B$5000,"Expense",'2023-2024 Tracker'!$C$2:$C$5000,"Project-specific expenses")</f>
        <v>0</v>
      </c>
      <c r="F20" s="15">
        <f>SUMIFS('2023-2024 Tracker'!$K$2:$K$5000,'2023-2024 Tracker'!$A$2:$A$5000,"&gt;="&amp;F3,'2023-2024 Tracker'!$A$2:$A$5000,"&lt;="&amp;EOMONTH(F3,0),'2023-2024 Tracker'!$B$2:$B$5000,"Expense",'2023-2024 Tracker'!$C$2:$C$5000,"Project-specific expenses")</f>
        <v>0</v>
      </c>
      <c r="G20" s="15">
        <f>SUMIFS('2023-2024 Tracker'!$K$2:$K$5000,'2023-2024 Tracker'!$A$2:$A$5000,"&gt;="&amp;G3,'2023-2024 Tracker'!$A$2:$A$5000,"&lt;="&amp;EOMONTH(G3,0),'2023-2024 Tracker'!$B$2:$B$5000,"Expense",'2023-2024 Tracker'!$C$2:$C$5000,"Project-specific expenses")</f>
        <v>0</v>
      </c>
      <c r="H20" s="15">
        <f>SUMIFS('2023-2024 Tracker'!$K$2:$K$5000,'2023-2024 Tracker'!$A$2:$A$5000,"&gt;="&amp;H3,'2023-2024 Tracker'!$A$2:$A$5000,"&lt;="&amp;EOMONTH(H3,0),'2023-2024 Tracker'!$B$2:$B$5000,"Expense",'2023-2024 Tracker'!$C$2:$C$5000,"Project-specific expenses")</f>
        <v>0</v>
      </c>
      <c r="I20" s="15">
        <f>SUMIFS('2023-2024 Tracker'!$K$2:$K$5000,'2023-2024 Tracker'!$A$2:$A$5000,"&gt;="&amp;I3,'2023-2024 Tracker'!$A$2:$A$5000,"&lt;="&amp;EOMONTH(I3,0),'2023-2024 Tracker'!$B$2:$B$5000,"Expense",'2023-2024 Tracker'!$C$2:$C$5000,"Project-specific expenses")</f>
        <v>0</v>
      </c>
      <c r="J20" s="15">
        <f>SUMIFS('2023-2024 Tracker'!$K$2:$K$5000,'2023-2024 Tracker'!$A$2:$A$5000,"&gt;="&amp;J3,'2023-2024 Tracker'!$A$2:$A$5000,"&lt;="&amp;EOMONTH(J3,0),'2023-2024 Tracker'!$B$2:$B$5000,"Expense",'2023-2024 Tracker'!$C$2:$C$5000,"Project-specific expenses")</f>
        <v>0</v>
      </c>
      <c r="K20" s="15">
        <f>SUMIFS('2023-2024 Tracker'!$K$2:$K$5000,'2023-2024 Tracker'!$A$2:$A$5000,"&gt;="&amp;K3,'2023-2024 Tracker'!$A$2:$A$5000,"&lt;="&amp;EOMONTH(K3,0),'2023-2024 Tracker'!$B$2:$B$5000,"Expense",'2023-2024 Tracker'!$C$2:$C$5000,"Project-specific expenses")</f>
        <v>0</v>
      </c>
      <c r="L20" s="15">
        <f>SUMIFS('2023-2024 Tracker'!$K$2:$K$5000,'2023-2024 Tracker'!$A$2:$A$5000,"&gt;="&amp;L3,'2023-2024 Tracker'!$A$2:$A$5000,"&lt;="&amp;EOMONTH(L3,0),'2023-2024 Tracker'!$B$2:$B$5000,"Expense",'2023-2024 Tracker'!$C$2:$C$5000,"Project-specific expenses")</f>
        <v>0</v>
      </c>
      <c r="M20" s="15">
        <f>SUMIFS('2023-2024 Tracker'!$K$2:$K$5000,'2023-2024 Tracker'!$A$2:$A$5000,"&gt;="&amp;M3,'2023-2024 Tracker'!$A$2:$A$5000,"&lt;="&amp;EOMONTH(M3,0),'2023-2024 Tracker'!$B$2:$B$5000,"Expense",'2023-2024 Tracker'!$C$2:$C$5000,"Project-specific expenses")</f>
        <v>0</v>
      </c>
      <c r="N20" s="15">
        <f>SUMIFS('2023-2024 Tracker'!$K$2:$K$5000,'2023-2024 Tracker'!$A$2:$A$5000,"&gt;="&amp;N3,'2023-2024 Tracker'!$A$2:$A$5000,"&lt;="&amp;EOMONTH(N3,0),'2023-2024 Tracker'!$B$2:$B$5000,"Expense",'2023-2024 Tracker'!$C$2:$C$5000,"Project-specific expenses")</f>
        <v>0</v>
      </c>
      <c r="O20" s="16">
        <f t="shared" si="7"/>
        <v>0</v>
      </c>
    </row>
    <row r="21" ht="15.75" customHeight="1">
      <c r="A21" s="14" t="s">
        <v>88</v>
      </c>
      <c r="B21" s="8"/>
      <c r="C21" s="15">
        <f>SUMIFS('2023-2024 Tracker'!$K$2:$K$5000,'2023-2024 Tracker'!$A$2:$A$5000,"&gt;="&amp;C3,'2023-2024 Tracker'!$A$2:$A$5000,"&lt;="&amp;EOMONTH(C3,0),'2023-2024 Tracker'!$B$2:$B$5000,"Expense",'2023-2024 Tracker'!$C$2:$C$5000,"Events &amp; workshops")</f>
        <v>0</v>
      </c>
      <c r="D21" s="15">
        <f>SUMIFS('2023-2024 Tracker'!$K$2:$K$5000,'2023-2024 Tracker'!$A$2:$A$5000,"&gt;="&amp;D3,'2023-2024 Tracker'!$A$2:$A$5000,"&lt;="&amp;EOMONTH(D3,0),'2023-2024 Tracker'!$B$2:$B$5000,"Expense",'2023-2024 Tracker'!$C$2:$C$5000,"Events &amp; workshops")</f>
        <v>0</v>
      </c>
      <c r="E21" s="15">
        <f>SUMIFS('2023-2024 Tracker'!$K$2:$K$5000,'2023-2024 Tracker'!$A$2:$A$5000,"&gt;="&amp;E3,'2023-2024 Tracker'!$A$2:$A$5000,"&lt;="&amp;EOMONTH(E3,0),'2023-2024 Tracker'!$B$2:$B$5000,"Expense",'2023-2024 Tracker'!$C$2:$C$5000,"Events &amp; workshops")</f>
        <v>0</v>
      </c>
      <c r="F21" s="15">
        <f>SUMIFS('2023-2024 Tracker'!$K$2:$K$5000,'2023-2024 Tracker'!$A$2:$A$5000,"&gt;="&amp;F3,'2023-2024 Tracker'!$A$2:$A$5000,"&lt;="&amp;EOMONTH(F3,0),'2023-2024 Tracker'!$B$2:$B$5000,"Expense",'2023-2024 Tracker'!$C$2:$C$5000,"Events &amp; workshops")</f>
        <v>0</v>
      </c>
      <c r="G21" s="15">
        <f>SUMIFS('2023-2024 Tracker'!$K$2:$K$5000,'2023-2024 Tracker'!$A$2:$A$5000,"&gt;="&amp;G3,'2023-2024 Tracker'!$A$2:$A$5000,"&lt;="&amp;EOMONTH(G3,0),'2023-2024 Tracker'!$B$2:$B$5000,"Expense",'2023-2024 Tracker'!$C$2:$C$5000,"Events &amp; workshops")</f>
        <v>0</v>
      </c>
      <c r="H21" s="15">
        <f>SUMIFS('2023-2024 Tracker'!$K$2:$K$5000,'2023-2024 Tracker'!$A$2:$A$5000,"&gt;="&amp;H3,'2023-2024 Tracker'!$A$2:$A$5000,"&lt;="&amp;EOMONTH(H3,0),'2023-2024 Tracker'!$B$2:$B$5000,"Expense",'2023-2024 Tracker'!$C$2:$C$5000,"Events &amp; workshops")</f>
        <v>0</v>
      </c>
      <c r="I21" s="15">
        <f>SUMIFS('2023-2024 Tracker'!$K$2:$K$5000,'2023-2024 Tracker'!$A$2:$A$5000,"&gt;="&amp;I3,'2023-2024 Tracker'!$A$2:$A$5000,"&lt;="&amp;EOMONTH(I3,0),'2023-2024 Tracker'!$B$2:$B$5000,"Expense",'2023-2024 Tracker'!$C$2:$C$5000,"Events &amp; workshops")</f>
        <v>0</v>
      </c>
      <c r="J21" s="15">
        <f>SUMIFS('2023-2024 Tracker'!$K$2:$K$5000,'2023-2024 Tracker'!$A$2:$A$5000,"&gt;="&amp;J3,'2023-2024 Tracker'!$A$2:$A$5000,"&lt;="&amp;EOMONTH(J3,0),'2023-2024 Tracker'!$B$2:$B$5000,"Expense",'2023-2024 Tracker'!$C$2:$C$5000,"Events &amp; workshops")</f>
        <v>0</v>
      </c>
      <c r="K21" s="15">
        <f>SUMIFS('2023-2024 Tracker'!$K$2:$K$5000,'2023-2024 Tracker'!$A$2:$A$5000,"&gt;="&amp;K3,'2023-2024 Tracker'!$A$2:$A$5000,"&lt;="&amp;EOMONTH(K3,0),'2023-2024 Tracker'!$B$2:$B$5000,"Expense",'2023-2024 Tracker'!$C$2:$C$5000,"Events &amp; workshops")</f>
        <v>0</v>
      </c>
      <c r="L21" s="15">
        <f>SUMIFS('2023-2024 Tracker'!$K$2:$K$5000,'2023-2024 Tracker'!$A$2:$A$5000,"&gt;="&amp;L3,'2023-2024 Tracker'!$A$2:$A$5000,"&lt;="&amp;EOMONTH(L3,0),'2023-2024 Tracker'!$B$2:$B$5000,"Expense",'2023-2024 Tracker'!$C$2:$C$5000,"Events &amp; workshops")</f>
        <v>0</v>
      </c>
      <c r="M21" s="15">
        <f>SUMIFS('2023-2024 Tracker'!$K$2:$K$5000,'2023-2024 Tracker'!$A$2:$A$5000,"&gt;="&amp;M3,'2023-2024 Tracker'!$A$2:$A$5000,"&lt;="&amp;EOMONTH(M3,0),'2023-2024 Tracker'!$B$2:$B$5000,"Expense",'2023-2024 Tracker'!$C$2:$C$5000,"Events &amp; workshops")</f>
        <v>0</v>
      </c>
      <c r="N21" s="15">
        <f>SUMIFS('2023-2024 Tracker'!$K$2:$K$5000,'2023-2024 Tracker'!$A$2:$A$5000,"&gt;="&amp;N3,'2023-2024 Tracker'!$A$2:$A$5000,"&lt;="&amp;EOMONTH(N3,0),'2023-2024 Tracker'!$B$2:$B$5000,"Expense",'2023-2024 Tracker'!$C$2:$C$5000,"Events &amp; workshops")</f>
        <v>0</v>
      </c>
      <c r="O21" s="16">
        <f t="shared" si="7"/>
        <v>0</v>
      </c>
    </row>
    <row r="22" ht="15.75" customHeight="1">
      <c r="A22" s="14" t="s">
        <v>89</v>
      </c>
      <c r="B22" s="8"/>
      <c r="C22" s="15">
        <f>SUMIFS('2023-2024 Tracker'!$K$2:$K$5000,'2023-2024 Tracker'!$A$2:$A$5000,"&gt;="&amp;C3,'2023-2024 Tracker'!$A$2:$A$5000,"&lt;="&amp;EOMONTH(C3,0),'2023-2024 Tracker'!$B$2:$B$5000,"Expense",'2023-2024 Tracker'!$C$2:$C$5000,"Marketing/Comms")</f>
        <v>0</v>
      </c>
      <c r="D22" s="15">
        <f>SUMIFS('2023-2024 Tracker'!$K$2:$K$5000,'2023-2024 Tracker'!$A$2:$A$5000,"&gt;="&amp;D3,'2023-2024 Tracker'!$A$2:$A$5000,"&lt;="&amp;EOMONTH(D3,0),'2023-2024 Tracker'!$B$2:$B$5000,"Expense",'2023-2024 Tracker'!$C$2:$C$5000,"Marketing/Comms")</f>
        <v>0</v>
      </c>
      <c r="E22" s="15">
        <f>SUMIFS('2023-2024 Tracker'!$K$2:$K$5000,'2023-2024 Tracker'!$A$2:$A$5000,"&gt;="&amp;E3,'2023-2024 Tracker'!$A$2:$A$5000,"&lt;="&amp;EOMONTH(E3,0),'2023-2024 Tracker'!$B$2:$B$5000,"Expense",'2023-2024 Tracker'!$C$2:$C$5000,"Marketing/Comms")</f>
        <v>0</v>
      </c>
      <c r="F22" s="15">
        <f>SUMIFS('2023-2024 Tracker'!$K$2:$K$5000,'2023-2024 Tracker'!$A$2:$A$5000,"&gt;="&amp;F3,'2023-2024 Tracker'!$A$2:$A$5000,"&lt;="&amp;EOMONTH(F3,0),'2023-2024 Tracker'!$B$2:$B$5000,"Expense",'2023-2024 Tracker'!$C$2:$C$5000,"Marketing/Comms")</f>
        <v>0</v>
      </c>
      <c r="G22" s="15">
        <f>SUMIFS('2023-2024 Tracker'!$K$2:$K$5000,'2023-2024 Tracker'!$A$2:$A$5000,"&gt;="&amp;G3,'2023-2024 Tracker'!$A$2:$A$5000,"&lt;="&amp;EOMONTH(G3,0),'2023-2024 Tracker'!$B$2:$B$5000,"Expense",'2023-2024 Tracker'!$C$2:$C$5000,"Marketing/Comms")</f>
        <v>0</v>
      </c>
      <c r="H22" s="15">
        <f>SUMIFS('2023-2024 Tracker'!$K$2:$K$5000,'2023-2024 Tracker'!$A$2:$A$5000,"&gt;="&amp;H3,'2023-2024 Tracker'!$A$2:$A$5000,"&lt;="&amp;EOMONTH(H3,0),'2023-2024 Tracker'!$B$2:$B$5000,"Expense",'2023-2024 Tracker'!$C$2:$C$5000,"Marketing/Comms")</f>
        <v>0</v>
      </c>
      <c r="I22" s="15">
        <f>SUMIFS('2023-2024 Tracker'!$K$2:$K$5000,'2023-2024 Tracker'!$A$2:$A$5000,"&gt;="&amp;I3,'2023-2024 Tracker'!$A$2:$A$5000,"&lt;="&amp;EOMONTH(I3,0),'2023-2024 Tracker'!$B$2:$B$5000,"Expense",'2023-2024 Tracker'!$C$2:$C$5000,"Marketing/Comms")</f>
        <v>0</v>
      </c>
      <c r="J22" s="15">
        <f>SUMIFS('2023-2024 Tracker'!$K$2:$K$5000,'2023-2024 Tracker'!$A$2:$A$5000,"&gt;="&amp;J3,'2023-2024 Tracker'!$A$2:$A$5000,"&lt;="&amp;EOMONTH(J3,0),'2023-2024 Tracker'!$B$2:$B$5000,"Expense",'2023-2024 Tracker'!$C$2:$C$5000,"Marketing/Comms")</f>
        <v>0</v>
      </c>
      <c r="K22" s="15">
        <f>SUMIFS('2023-2024 Tracker'!$K$2:$K$5000,'2023-2024 Tracker'!$A$2:$A$5000,"&gt;="&amp;K3,'2023-2024 Tracker'!$A$2:$A$5000,"&lt;="&amp;EOMONTH(K3,0),'2023-2024 Tracker'!$B$2:$B$5000,"Expense",'2023-2024 Tracker'!$C$2:$C$5000,"Marketing/Comms")</f>
        <v>0</v>
      </c>
      <c r="L22" s="15">
        <f>SUMIFS('2023-2024 Tracker'!$K$2:$K$5000,'2023-2024 Tracker'!$A$2:$A$5000,"&gt;="&amp;L3,'2023-2024 Tracker'!$A$2:$A$5000,"&lt;="&amp;EOMONTH(L3,0),'2023-2024 Tracker'!$B$2:$B$5000,"Expense",'2023-2024 Tracker'!$C$2:$C$5000,"Marketing/Comms")</f>
        <v>0</v>
      </c>
      <c r="M22" s="15">
        <f>SUMIFS('2023-2024 Tracker'!$K$2:$K$5000,'2023-2024 Tracker'!$A$2:$A$5000,"&gt;="&amp;M3,'2023-2024 Tracker'!$A$2:$A$5000,"&lt;="&amp;EOMONTH(M3,0),'2023-2024 Tracker'!$B$2:$B$5000,"Expense",'2023-2024 Tracker'!$C$2:$C$5000,"Marketing/Comms")</f>
        <v>0</v>
      </c>
      <c r="N22" s="15">
        <f>SUMIFS('2023-2024 Tracker'!$K$2:$K$5000,'2023-2024 Tracker'!$A$2:$A$5000,"&gt;="&amp;N3,'2023-2024 Tracker'!$A$2:$A$5000,"&lt;="&amp;EOMONTH(N3,0),'2023-2024 Tracker'!$B$2:$B$5000,"Expense",'2023-2024 Tracker'!$C$2:$C$5000,"Marketing/Comms")</f>
        <v>0</v>
      </c>
      <c r="O22" s="16">
        <f t="shared" si="7"/>
        <v>0</v>
      </c>
    </row>
    <row r="23" ht="15.75" customHeight="1">
      <c r="A23" s="14" t="s">
        <v>90</v>
      </c>
      <c r="B23" s="8"/>
      <c r="C23" s="15">
        <f>SUMIFS('2023-2024 Tracker'!$K$2:$K$5000,'2023-2024 Tracker'!$A$2:$A$5000,"&gt;="&amp;C3,'2023-2024 Tracker'!$A$2:$A$5000,"&lt;="&amp;EOMONTH(C3,0),'2023-2024 Tracker'!$B$2:$B$5000,"Expense",'2023-2024 Tracker'!$C$2:$C$5000,"Professional services")</f>
        <v>0</v>
      </c>
      <c r="D23" s="15">
        <f>SUMIFS('2023-2024 Tracker'!$K$2:$K$5000,'2023-2024 Tracker'!$A$2:$A$5000,"&gt;="&amp;D3,'2023-2024 Tracker'!$A$2:$A$5000,"&lt;="&amp;EOMONTH(D3,0),'2023-2024 Tracker'!$B$2:$B$5000,"Expense",'2023-2024 Tracker'!$C$2:$C$5000,"Professional services")</f>
        <v>0</v>
      </c>
      <c r="E23" s="15">
        <f>SUMIFS('2023-2024 Tracker'!$K$2:$K$5000,'2023-2024 Tracker'!$A$2:$A$5000,"&gt;="&amp;E3,'2023-2024 Tracker'!$A$2:$A$5000,"&lt;="&amp;EOMONTH(E3,0),'2023-2024 Tracker'!$B$2:$B$5000,"Expense",'2023-2024 Tracker'!$C$2:$C$5000,"Professional services")</f>
        <v>0</v>
      </c>
      <c r="F23" s="15">
        <f>SUMIFS('2023-2024 Tracker'!$K$2:$K$5000,'2023-2024 Tracker'!$A$2:$A$5000,"&gt;="&amp;F3,'2023-2024 Tracker'!$A$2:$A$5000,"&lt;="&amp;EOMONTH(F3,0),'2023-2024 Tracker'!$B$2:$B$5000,"Expense",'2023-2024 Tracker'!$C$2:$C$5000,"Professional services")</f>
        <v>0</v>
      </c>
      <c r="G23" s="15">
        <f>SUMIFS('2023-2024 Tracker'!$K$2:$K$5000,'2023-2024 Tracker'!$A$2:$A$5000,"&gt;="&amp;G3,'2023-2024 Tracker'!$A$2:$A$5000,"&lt;="&amp;EOMONTH(G3,0),'2023-2024 Tracker'!$B$2:$B$5000,"Expense",'2023-2024 Tracker'!$C$2:$C$5000,"Professional services")</f>
        <v>0</v>
      </c>
      <c r="H23" s="15">
        <f>SUMIFS('2023-2024 Tracker'!$K$2:$K$5000,'2023-2024 Tracker'!$A$2:$A$5000,"&gt;="&amp;H3,'2023-2024 Tracker'!$A$2:$A$5000,"&lt;="&amp;EOMONTH(H3,0),'2023-2024 Tracker'!$B$2:$B$5000,"Expense",'2023-2024 Tracker'!$C$2:$C$5000,"Professional services")</f>
        <v>0</v>
      </c>
      <c r="I23" s="15">
        <f>SUMIFS('2023-2024 Tracker'!$K$2:$K$5000,'2023-2024 Tracker'!$A$2:$A$5000,"&gt;="&amp;I3,'2023-2024 Tracker'!$A$2:$A$5000,"&lt;="&amp;EOMONTH(I3,0),'2023-2024 Tracker'!$B$2:$B$5000,"Expense",'2023-2024 Tracker'!$C$2:$C$5000,"Professional services")</f>
        <v>0</v>
      </c>
      <c r="J23" s="15">
        <f>SUMIFS('2023-2024 Tracker'!$K$2:$K$5000,'2023-2024 Tracker'!$A$2:$A$5000,"&gt;="&amp;J3,'2023-2024 Tracker'!$A$2:$A$5000,"&lt;="&amp;EOMONTH(J3,0),'2023-2024 Tracker'!$B$2:$B$5000,"Expense",'2023-2024 Tracker'!$C$2:$C$5000,"Professional services")</f>
        <v>0</v>
      </c>
      <c r="K23" s="15">
        <f>SUMIFS('2023-2024 Tracker'!$K$2:$K$5000,'2023-2024 Tracker'!$A$2:$A$5000,"&gt;="&amp;K3,'2023-2024 Tracker'!$A$2:$A$5000,"&lt;="&amp;EOMONTH(K3,0),'2023-2024 Tracker'!$B$2:$B$5000,"Expense",'2023-2024 Tracker'!$C$2:$C$5000,"Professional services")</f>
        <v>0</v>
      </c>
      <c r="L23" s="15">
        <f>SUMIFS('2023-2024 Tracker'!$K$2:$K$5000,'2023-2024 Tracker'!$A$2:$A$5000,"&gt;="&amp;L3,'2023-2024 Tracker'!$A$2:$A$5000,"&lt;="&amp;EOMONTH(L3,0),'2023-2024 Tracker'!$B$2:$B$5000,"Expense",'2023-2024 Tracker'!$C$2:$C$5000,"Professional services")</f>
        <v>0</v>
      </c>
      <c r="M23" s="15">
        <f>SUMIFS('2023-2024 Tracker'!$K$2:$K$5000,'2023-2024 Tracker'!$A$2:$A$5000,"&gt;="&amp;M3,'2023-2024 Tracker'!$A$2:$A$5000,"&lt;="&amp;EOMONTH(M3,0),'2023-2024 Tracker'!$B$2:$B$5000,"Expense",'2023-2024 Tracker'!$C$2:$C$5000,"Professional services")</f>
        <v>0</v>
      </c>
      <c r="N23" s="15">
        <f>SUMIFS('2023-2024 Tracker'!$K$2:$K$5000,'2023-2024 Tracker'!$A$2:$A$5000,"&gt;="&amp;N3,'2023-2024 Tracker'!$A$2:$A$5000,"&lt;="&amp;EOMONTH(N3,0),'2023-2024 Tracker'!$B$2:$B$5000,"Expense",'2023-2024 Tracker'!$C$2:$C$5000,"Professional services")</f>
        <v>0</v>
      </c>
      <c r="O23" s="16">
        <f t="shared" si="7"/>
        <v>0</v>
      </c>
    </row>
    <row r="24" ht="15.75" customHeight="1">
      <c r="A24" s="14" t="s">
        <v>91</v>
      </c>
      <c r="B24" s="8"/>
      <c r="C24" s="15">
        <f>SUMIFS('2023-2024 Tracker'!$K$2:$K$5000,'2023-2024 Tracker'!$A$2:$A$5000,"&gt;="&amp;C3,'2023-2024 Tracker'!$A$2:$A$5000,"&lt;="&amp;EOMONTH(C3,0),'2023-2024 Tracker'!$B$2:$B$5000,"Expense",'2023-2024 Tracker'!$C$2:$C$5000,"Infrastructure/Hosting")</f>
        <v>0</v>
      </c>
      <c r="D24" s="15">
        <f>SUMIFS('2023-2024 Tracker'!$K$2:$K$5000,'2023-2024 Tracker'!$A$2:$A$5000,"&gt;="&amp;D3,'2023-2024 Tracker'!$A$2:$A$5000,"&lt;="&amp;EOMONTH(D3,0),'2023-2024 Tracker'!$B$2:$B$5000,"Expense",'2023-2024 Tracker'!$C$2:$C$5000,"Infrastructure/Hosting")</f>
        <v>0</v>
      </c>
      <c r="E24" s="15">
        <f>SUMIFS('2023-2024 Tracker'!$K$2:$K$5000,'2023-2024 Tracker'!$A$2:$A$5000,"&gt;="&amp;E3,'2023-2024 Tracker'!$A$2:$A$5000,"&lt;="&amp;EOMONTH(E3,0),'2023-2024 Tracker'!$B$2:$B$5000,"Expense",'2023-2024 Tracker'!$C$2:$C$5000,"Infrastructure/Hosting")</f>
        <v>0</v>
      </c>
      <c r="F24" s="15">
        <f>SUMIFS('2023-2024 Tracker'!$K$2:$K$5000,'2023-2024 Tracker'!$A$2:$A$5000,"&gt;="&amp;F3,'2023-2024 Tracker'!$A$2:$A$5000,"&lt;="&amp;EOMONTH(F3,0),'2023-2024 Tracker'!$B$2:$B$5000,"Expense",'2023-2024 Tracker'!$C$2:$C$5000,"Infrastructure/Hosting")</f>
        <v>0</v>
      </c>
      <c r="G24" s="15">
        <f>SUMIFS('2023-2024 Tracker'!$K$2:$K$5000,'2023-2024 Tracker'!$A$2:$A$5000,"&gt;="&amp;G3,'2023-2024 Tracker'!$A$2:$A$5000,"&lt;="&amp;EOMONTH(G3,0),'2023-2024 Tracker'!$B$2:$B$5000,"Expense",'2023-2024 Tracker'!$C$2:$C$5000,"Infrastructure/Hosting")</f>
        <v>0</v>
      </c>
      <c r="H24" s="15">
        <f>SUMIFS('2023-2024 Tracker'!$K$2:$K$5000,'2023-2024 Tracker'!$A$2:$A$5000,"&gt;="&amp;H3,'2023-2024 Tracker'!$A$2:$A$5000,"&lt;="&amp;EOMONTH(H3,0),'2023-2024 Tracker'!$B$2:$B$5000,"Expense",'2023-2024 Tracker'!$C$2:$C$5000,"Infrastructure/Hosting")</f>
        <v>0</v>
      </c>
      <c r="I24" s="15">
        <f>SUMIFS('2023-2024 Tracker'!$K$2:$K$5000,'2023-2024 Tracker'!$A$2:$A$5000,"&gt;="&amp;I3,'2023-2024 Tracker'!$A$2:$A$5000,"&lt;="&amp;EOMONTH(I3,0),'2023-2024 Tracker'!$B$2:$B$5000,"Expense",'2023-2024 Tracker'!$C$2:$C$5000,"Infrastructure/Hosting")</f>
        <v>0</v>
      </c>
      <c r="J24" s="15">
        <f>SUMIFS('2023-2024 Tracker'!$K$2:$K$5000,'2023-2024 Tracker'!$A$2:$A$5000,"&gt;="&amp;J3,'2023-2024 Tracker'!$A$2:$A$5000,"&lt;="&amp;EOMONTH(J3,0),'2023-2024 Tracker'!$B$2:$B$5000,"Expense",'2023-2024 Tracker'!$C$2:$C$5000,"Infrastructure/Hosting")</f>
        <v>0</v>
      </c>
      <c r="K24" s="15">
        <f>SUMIFS('2023-2024 Tracker'!$K$2:$K$5000,'2023-2024 Tracker'!$A$2:$A$5000,"&gt;="&amp;K3,'2023-2024 Tracker'!$A$2:$A$5000,"&lt;="&amp;EOMONTH(K3,0),'2023-2024 Tracker'!$B$2:$B$5000,"Expense",'2023-2024 Tracker'!$C$2:$C$5000,"Infrastructure/Hosting")</f>
        <v>0</v>
      </c>
      <c r="L24" s="15">
        <f>SUMIFS('2023-2024 Tracker'!$K$2:$K$5000,'2023-2024 Tracker'!$A$2:$A$5000,"&gt;="&amp;L3,'2023-2024 Tracker'!$A$2:$A$5000,"&lt;="&amp;EOMONTH(L3,0),'2023-2024 Tracker'!$B$2:$B$5000,"Expense",'2023-2024 Tracker'!$C$2:$C$5000,"Infrastructure/Hosting")</f>
        <v>0</v>
      </c>
      <c r="M24" s="15">
        <f>SUMIFS('2023-2024 Tracker'!$K$2:$K$5000,'2023-2024 Tracker'!$A$2:$A$5000,"&gt;="&amp;M3,'2023-2024 Tracker'!$A$2:$A$5000,"&lt;="&amp;EOMONTH(M3,0),'2023-2024 Tracker'!$B$2:$B$5000,"Expense",'2023-2024 Tracker'!$C$2:$C$5000,"Infrastructure/Hosting")</f>
        <v>0</v>
      </c>
      <c r="N24" s="15">
        <f>SUMIFS('2023-2024 Tracker'!$K$2:$K$5000,'2023-2024 Tracker'!$A$2:$A$5000,"&gt;="&amp;N3,'2023-2024 Tracker'!$A$2:$A$5000,"&lt;="&amp;EOMONTH(N3,0),'2023-2024 Tracker'!$B$2:$B$5000,"Expense",'2023-2024 Tracker'!$C$2:$C$5000,"Infrastructure/Hosting")</f>
        <v>0</v>
      </c>
      <c r="O24" s="16">
        <f t="shared" si="7"/>
        <v>0</v>
      </c>
    </row>
    <row r="25" ht="15.75" customHeight="1">
      <c r="A25" s="14" t="s">
        <v>92</v>
      </c>
      <c r="B25" s="8"/>
      <c r="C25" s="15">
        <f>SUMIFS('2023-2024 Tracker'!$K$2:$K$5000,'2023-2024 Tracker'!$A$2:$A$5000,"&gt;="&amp;C3,'2023-2024 Tracker'!$A$2:$A$5000,"&lt;="&amp;EOMONTH(C3,0),'2023-2024 Tracker'!$B$2:$B$5000,"Expense",'2023-2024 Tracker'!$C$2:$C$5000,"Travel &amp; meetings")</f>
        <v>0</v>
      </c>
      <c r="D25" s="15">
        <f>SUMIFS('2023-2024 Tracker'!$K$2:$K$5000,'2023-2024 Tracker'!$A$2:$A$5000,"&gt;="&amp;D3,'2023-2024 Tracker'!$A$2:$A$5000,"&lt;="&amp;EOMONTH(D3,0),'2023-2024 Tracker'!$B$2:$B$5000,"Expense",'2023-2024 Tracker'!$C$2:$C$5000,"Travel &amp; meetings")</f>
        <v>0</v>
      </c>
      <c r="E25" s="15">
        <f>SUMIFS('2023-2024 Tracker'!$K$2:$K$5000,'2023-2024 Tracker'!$A$2:$A$5000,"&gt;="&amp;E3,'2023-2024 Tracker'!$A$2:$A$5000,"&lt;="&amp;EOMONTH(E3,0),'2023-2024 Tracker'!$B$2:$B$5000,"Expense",'2023-2024 Tracker'!$C$2:$C$5000,"Travel &amp; meetings")</f>
        <v>0</v>
      </c>
      <c r="F25" s="15">
        <f>SUMIFS('2023-2024 Tracker'!$K$2:$K$5000,'2023-2024 Tracker'!$A$2:$A$5000,"&gt;="&amp;F3,'2023-2024 Tracker'!$A$2:$A$5000,"&lt;="&amp;EOMONTH(F3,0),'2023-2024 Tracker'!$B$2:$B$5000,"Expense",'2023-2024 Tracker'!$C$2:$C$5000,"Travel &amp; meetings")</f>
        <v>0</v>
      </c>
      <c r="G25" s="15">
        <f>SUMIFS('2023-2024 Tracker'!$K$2:$K$5000,'2023-2024 Tracker'!$A$2:$A$5000,"&gt;="&amp;G3,'2023-2024 Tracker'!$A$2:$A$5000,"&lt;="&amp;EOMONTH(G3,0),'2023-2024 Tracker'!$B$2:$B$5000,"Expense",'2023-2024 Tracker'!$C$2:$C$5000,"Travel &amp; meetings")</f>
        <v>0</v>
      </c>
      <c r="H25" s="15">
        <f>SUMIFS('2023-2024 Tracker'!$K$2:$K$5000,'2023-2024 Tracker'!$A$2:$A$5000,"&gt;="&amp;H3,'2023-2024 Tracker'!$A$2:$A$5000,"&lt;="&amp;EOMONTH(H3,0),'2023-2024 Tracker'!$B$2:$B$5000,"Expense",'2023-2024 Tracker'!$C$2:$C$5000,"Travel &amp; meetings")</f>
        <v>0</v>
      </c>
      <c r="I25" s="15">
        <f>SUMIFS('2023-2024 Tracker'!$K$2:$K$5000,'2023-2024 Tracker'!$A$2:$A$5000,"&gt;="&amp;I3,'2023-2024 Tracker'!$A$2:$A$5000,"&lt;="&amp;EOMONTH(I3,0),'2023-2024 Tracker'!$B$2:$B$5000,"Expense",'2023-2024 Tracker'!$C$2:$C$5000,"Travel &amp; meetings")</f>
        <v>0</v>
      </c>
      <c r="J25" s="15">
        <f>SUMIFS('2023-2024 Tracker'!$K$2:$K$5000,'2023-2024 Tracker'!$A$2:$A$5000,"&gt;="&amp;J3,'2023-2024 Tracker'!$A$2:$A$5000,"&lt;="&amp;EOMONTH(J3,0),'2023-2024 Tracker'!$B$2:$B$5000,"Expense",'2023-2024 Tracker'!$C$2:$C$5000,"Travel &amp; meetings")</f>
        <v>0</v>
      </c>
      <c r="K25" s="15">
        <f>SUMIFS('2023-2024 Tracker'!$K$2:$K$5000,'2023-2024 Tracker'!$A$2:$A$5000,"&gt;="&amp;K3,'2023-2024 Tracker'!$A$2:$A$5000,"&lt;="&amp;EOMONTH(K3,0),'2023-2024 Tracker'!$B$2:$B$5000,"Expense",'2023-2024 Tracker'!$C$2:$C$5000,"Travel &amp; meetings")</f>
        <v>0</v>
      </c>
      <c r="L25" s="15">
        <f>SUMIFS('2023-2024 Tracker'!$K$2:$K$5000,'2023-2024 Tracker'!$A$2:$A$5000,"&gt;="&amp;L3,'2023-2024 Tracker'!$A$2:$A$5000,"&lt;="&amp;EOMONTH(L3,0),'2023-2024 Tracker'!$B$2:$B$5000,"Expense",'2023-2024 Tracker'!$C$2:$C$5000,"Travel &amp; meetings")</f>
        <v>0</v>
      </c>
      <c r="M25" s="15">
        <f>SUMIFS('2023-2024 Tracker'!$K$2:$K$5000,'2023-2024 Tracker'!$A$2:$A$5000,"&gt;="&amp;M3,'2023-2024 Tracker'!$A$2:$A$5000,"&lt;="&amp;EOMONTH(M3,0),'2023-2024 Tracker'!$B$2:$B$5000,"Expense",'2023-2024 Tracker'!$C$2:$C$5000,"Travel &amp; meetings")</f>
        <v>0</v>
      </c>
      <c r="N25" s="15">
        <f>SUMIFS('2023-2024 Tracker'!$K$2:$K$5000,'2023-2024 Tracker'!$A$2:$A$5000,"&gt;="&amp;N3,'2023-2024 Tracker'!$A$2:$A$5000,"&lt;="&amp;EOMONTH(N3,0),'2023-2024 Tracker'!$B$2:$B$5000,"Expense",'2023-2024 Tracker'!$C$2:$C$5000,"Travel &amp; meetings")</f>
        <v>0</v>
      </c>
      <c r="O25" s="16">
        <f t="shared" si="7"/>
        <v>0</v>
      </c>
    </row>
    <row r="26" ht="15.75" customHeight="1">
      <c r="A26" s="14" t="s">
        <v>93</v>
      </c>
      <c r="B26" s="8"/>
      <c r="C26" s="15">
        <f>SUMIFS('2023-2024 Tracker'!$K$2:$K$5000,'2023-2024 Tracker'!$A$2:$A$5000,"&gt;="&amp;C3,'2023-2024 Tracker'!$A$2:$A$5000,"&lt;="&amp;EOMONTH(C3,0),'2023-2024 Tracker'!$B$2:$B$5000,"Expense",'2023-2024 Tracker'!$C$2:$C$5000,"Office supplies &amp; equipment")</f>
        <v>0</v>
      </c>
      <c r="D26" s="15">
        <f>SUMIFS('2023-2024 Tracker'!$K$2:$K$5000,'2023-2024 Tracker'!$A$2:$A$5000,"&gt;="&amp;D3,'2023-2024 Tracker'!$A$2:$A$5000,"&lt;="&amp;EOMONTH(D3,0),'2023-2024 Tracker'!$B$2:$B$5000,"Expense",'2023-2024 Tracker'!$C$2:$C$5000,"Office supplies &amp; equipment")</f>
        <v>0</v>
      </c>
      <c r="E26" s="15">
        <f>SUMIFS('2023-2024 Tracker'!$K$2:$K$5000,'2023-2024 Tracker'!$A$2:$A$5000,"&gt;="&amp;E3,'2023-2024 Tracker'!$A$2:$A$5000,"&lt;="&amp;EOMONTH(E3,0),'2023-2024 Tracker'!$B$2:$B$5000,"Expense",'2023-2024 Tracker'!$C$2:$C$5000,"Office supplies &amp; equipment")</f>
        <v>0</v>
      </c>
      <c r="F26" s="15">
        <f>SUMIFS('2023-2024 Tracker'!$K$2:$K$5000,'2023-2024 Tracker'!$A$2:$A$5000,"&gt;="&amp;F3,'2023-2024 Tracker'!$A$2:$A$5000,"&lt;="&amp;EOMONTH(F3,0),'2023-2024 Tracker'!$B$2:$B$5000,"Expense",'2023-2024 Tracker'!$C$2:$C$5000,"Office supplies &amp; equipment")</f>
        <v>0</v>
      </c>
      <c r="G26" s="15">
        <f>SUMIFS('2023-2024 Tracker'!$K$2:$K$5000,'2023-2024 Tracker'!$A$2:$A$5000,"&gt;="&amp;G3,'2023-2024 Tracker'!$A$2:$A$5000,"&lt;="&amp;EOMONTH(G3,0),'2023-2024 Tracker'!$B$2:$B$5000,"Expense",'2023-2024 Tracker'!$C$2:$C$5000,"Office supplies &amp; equipment")</f>
        <v>0</v>
      </c>
      <c r="H26" s="15">
        <f>SUMIFS('2023-2024 Tracker'!$K$2:$K$5000,'2023-2024 Tracker'!$A$2:$A$5000,"&gt;="&amp;H3,'2023-2024 Tracker'!$A$2:$A$5000,"&lt;="&amp;EOMONTH(H3,0),'2023-2024 Tracker'!$B$2:$B$5000,"Expense",'2023-2024 Tracker'!$C$2:$C$5000,"Office supplies &amp; equipment")</f>
        <v>0</v>
      </c>
      <c r="I26" s="15">
        <f>SUMIFS('2023-2024 Tracker'!$K$2:$K$5000,'2023-2024 Tracker'!$A$2:$A$5000,"&gt;="&amp;I3,'2023-2024 Tracker'!$A$2:$A$5000,"&lt;="&amp;EOMONTH(I3,0),'2023-2024 Tracker'!$B$2:$B$5000,"Expense",'2023-2024 Tracker'!$C$2:$C$5000,"Office supplies &amp; equipment")</f>
        <v>0</v>
      </c>
      <c r="J26" s="15">
        <f>SUMIFS('2023-2024 Tracker'!$K$2:$K$5000,'2023-2024 Tracker'!$A$2:$A$5000,"&gt;="&amp;J3,'2023-2024 Tracker'!$A$2:$A$5000,"&lt;="&amp;EOMONTH(J3,0),'2023-2024 Tracker'!$B$2:$B$5000,"Expense",'2023-2024 Tracker'!$C$2:$C$5000,"Office supplies &amp; equipment")</f>
        <v>0</v>
      </c>
      <c r="K26" s="15">
        <f>SUMIFS('2023-2024 Tracker'!$K$2:$K$5000,'2023-2024 Tracker'!$A$2:$A$5000,"&gt;="&amp;K3,'2023-2024 Tracker'!$A$2:$A$5000,"&lt;="&amp;EOMONTH(K3,0),'2023-2024 Tracker'!$B$2:$B$5000,"Expense",'2023-2024 Tracker'!$C$2:$C$5000,"Office supplies &amp; equipment")</f>
        <v>0</v>
      </c>
      <c r="L26" s="15">
        <f>SUMIFS('2023-2024 Tracker'!$K$2:$K$5000,'2023-2024 Tracker'!$A$2:$A$5000,"&gt;="&amp;L3,'2023-2024 Tracker'!$A$2:$A$5000,"&lt;="&amp;EOMONTH(L3,0),'2023-2024 Tracker'!$B$2:$B$5000,"Expense",'2023-2024 Tracker'!$C$2:$C$5000,"Office supplies &amp; equipment")</f>
        <v>0</v>
      </c>
      <c r="M26" s="15">
        <f>SUMIFS('2023-2024 Tracker'!$K$2:$K$5000,'2023-2024 Tracker'!$A$2:$A$5000,"&gt;="&amp;M3,'2023-2024 Tracker'!$A$2:$A$5000,"&lt;="&amp;EOMONTH(M3,0),'2023-2024 Tracker'!$B$2:$B$5000,"Expense",'2023-2024 Tracker'!$C$2:$C$5000,"Office supplies &amp; equipment")</f>
        <v>0</v>
      </c>
      <c r="N26" s="15">
        <f>SUMIFS('2023-2024 Tracker'!$K$2:$K$5000,'2023-2024 Tracker'!$A$2:$A$5000,"&gt;="&amp;N3,'2023-2024 Tracker'!$A$2:$A$5000,"&lt;="&amp;EOMONTH(N3,0),'2023-2024 Tracker'!$B$2:$B$5000,"Expense",'2023-2024 Tracker'!$C$2:$C$5000,"Office supplies &amp; equipment")</f>
        <v>0</v>
      </c>
      <c r="O26" s="16">
        <f t="shared" si="7"/>
        <v>0</v>
      </c>
    </row>
    <row r="27" ht="15.75" customHeight="1">
      <c r="A27" s="14" t="s">
        <v>94</v>
      </c>
      <c r="B27" s="8"/>
      <c r="C27" s="15">
        <f>SUMIFS('2023-2024 Tracker'!$K$2:$K$5000,'2023-2024 Tracker'!$A$2:$A$5000,"&gt;="&amp;C3,'2023-2024 Tracker'!$A$2:$A$5000,"&lt;="&amp;EOMONTH(C3,0),'2023-2024 Tracker'!$B$2:$B$5000,"Expense",'2023-2024 Tracker'!$C$2:$C$5000,"Other operational costs")</f>
        <v>0</v>
      </c>
      <c r="D27" s="15">
        <f>SUMIFS('2023-2024 Tracker'!$K$2:$K$5000,'2023-2024 Tracker'!$A$2:$A$5000,"&gt;="&amp;D3,'2023-2024 Tracker'!$A$2:$A$5000,"&lt;="&amp;EOMONTH(D3,0),'2023-2024 Tracker'!$B$2:$B$5000,"Expense",'2023-2024 Tracker'!$C$2:$C$5000,"Other operational costs")</f>
        <v>0</v>
      </c>
      <c r="E27" s="15">
        <f>SUMIFS('2023-2024 Tracker'!$K$2:$K$5000,'2023-2024 Tracker'!$A$2:$A$5000,"&gt;="&amp;E3,'2023-2024 Tracker'!$A$2:$A$5000,"&lt;="&amp;EOMONTH(E3,0),'2023-2024 Tracker'!$B$2:$B$5000,"Expense",'2023-2024 Tracker'!$C$2:$C$5000,"Other operational costs")</f>
        <v>0</v>
      </c>
      <c r="F27" s="15">
        <f>SUMIFS('2023-2024 Tracker'!$K$2:$K$5000,'2023-2024 Tracker'!$A$2:$A$5000,"&gt;="&amp;F3,'2023-2024 Tracker'!$A$2:$A$5000,"&lt;="&amp;EOMONTH(F3,0),'2023-2024 Tracker'!$B$2:$B$5000,"Expense",'2023-2024 Tracker'!$C$2:$C$5000,"Other operational costs")</f>
        <v>0</v>
      </c>
      <c r="G27" s="15">
        <f>SUMIFS('2023-2024 Tracker'!$K$2:$K$5000,'2023-2024 Tracker'!$A$2:$A$5000,"&gt;="&amp;G3,'2023-2024 Tracker'!$A$2:$A$5000,"&lt;="&amp;EOMONTH(G3,0),'2023-2024 Tracker'!$B$2:$B$5000,"Expense",'2023-2024 Tracker'!$C$2:$C$5000,"Other operational costs")</f>
        <v>0</v>
      </c>
      <c r="H27" s="15">
        <f>SUMIFS('2023-2024 Tracker'!$K$2:$K$5000,'2023-2024 Tracker'!$A$2:$A$5000,"&gt;="&amp;H3,'2023-2024 Tracker'!$A$2:$A$5000,"&lt;="&amp;EOMONTH(H3,0),'2023-2024 Tracker'!$B$2:$B$5000,"Expense",'2023-2024 Tracker'!$C$2:$C$5000,"Other operational costs")</f>
        <v>0</v>
      </c>
      <c r="I27" s="15">
        <f>SUMIFS('2023-2024 Tracker'!$K$2:$K$5000,'2023-2024 Tracker'!$A$2:$A$5000,"&gt;="&amp;I3,'2023-2024 Tracker'!$A$2:$A$5000,"&lt;="&amp;EOMONTH(I3,0),'2023-2024 Tracker'!$B$2:$B$5000,"Expense",'2023-2024 Tracker'!$C$2:$C$5000,"Other operational costs")</f>
        <v>0</v>
      </c>
      <c r="J27" s="15">
        <f>SUMIFS('2023-2024 Tracker'!$K$2:$K$5000,'2023-2024 Tracker'!$A$2:$A$5000,"&gt;="&amp;J3,'2023-2024 Tracker'!$A$2:$A$5000,"&lt;="&amp;EOMONTH(J3,0),'2023-2024 Tracker'!$B$2:$B$5000,"Expense",'2023-2024 Tracker'!$C$2:$C$5000,"Other operational costs")</f>
        <v>0</v>
      </c>
      <c r="K27" s="15">
        <f>SUMIFS('2023-2024 Tracker'!$K$2:$K$5000,'2023-2024 Tracker'!$A$2:$A$5000,"&gt;="&amp;K3,'2023-2024 Tracker'!$A$2:$A$5000,"&lt;="&amp;EOMONTH(K3,0),'2023-2024 Tracker'!$B$2:$B$5000,"Expense",'2023-2024 Tracker'!$C$2:$C$5000,"Other operational costs")</f>
        <v>0</v>
      </c>
      <c r="L27" s="15">
        <f>SUMIFS('2023-2024 Tracker'!$K$2:$K$5000,'2023-2024 Tracker'!$A$2:$A$5000,"&gt;="&amp;L3,'2023-2024 Tracker'!$A$2:$A$5000,"&lt;="&amp;EOMONTH(L3,0),'2023-2024 Tracker'!$B$2:$B$5000,"Expense",'2023-2024 Tracker'!$C$2:$C$5000,"Other operational costs")</f>
        <v>0</v>
      </c>
      <c r="M27" s="15">
        <f>SUMIFS('2023-2024 Tracker'!$K$2:$K$5000,'2023-2024 Tracker'!$A$2:$A$5000,"&gt;="&amp;M3,'2023-2024 Tracker'!$A$2:$A$5000,"&lt;="&amp;EOMONTH(M3,0),'2023-2024 Tracker'!$B$2:$B$5000,"Expense",'2023-2024 Tracker'!$C$2:$C$5000,"Other operational costs")</f>
        <v>0</v>
      </c>
      <c r="N27" s="15">
        <f>SUMIFS('2023-2024 Tracker'!$K$2:$K$5000,'2023-2024 Tracker'!$A$2:$A$5000,"&gt;="&amp;N3,'2023-2024 Tracker'!$A$2:$A$5000,"&lt;="&amp;EOMONTH(N3,0),'2023-2024 Tracker'!$B$2:$B$5000,"Expense",'2023-2024 Tracker'!$C$2:$C$5000,"Other operational costs")</f>
        <v>0</v>
      </c>
      <c r="O27" s="16">
        <f t="shared" si="7"/>
        <v>0</v>
      </c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11" t="s">
        <v>95</v>
      </c>
      <c r="B29" s="12"/>
      <c r="C29" s="13">
        <f t="shared" ref="C29:N29" si="8">C4-C11</f>
        <v>0</v>
      </c>
      <c r="D29" s="13">
        <f t="shared" si="8"/>
        <v>0</v>
      </c>
      <c r="E29" s="13">
        <f t="shared" si="8"/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>SUM(C29:N29)</f>
        <v>0</v>
      </c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11" t="s">
        <v>96</v>
      </c>
      <c r="B31" s="12"/>
      <c r="C31" s="13"/>
      <c r="D31" s="13">
        <f t="shared" ref="D31:N31" si="9">C33</f>
        <v>0</v>
      </c>
      <c r="E31" s="13">
        <f t="shared" si="9"/>
        <v>0</v>
      </c>
      <c r="F31" s="13">
        <f t="shared" si="9"/>
        <v>0</v>
      </c>
      <c r="G31" s="13">
        <f t="shared" si="9"/>
        <v>0</v>
      </c>
      <c r="H31" s="13">
        <f t="shared" si="9"/>
        <v>0</v>
      </c>
      <c r="I31" s="13">
        <f t="shared" si="9"/>
        <v>0</v>
      </c>
      <c r="J31" s="13">
        <f t="shared" si="9"/>
        <v>0</v>
      </c>
      <c r="K31" s="13">
        <f t="shared" si="9"/>
        <v>0</v>
      </c>
      <c r="L31" s="13">
        <f t="shared" si="9"/>
        <v>0</v>
      </c>
      <c r="M31" s="13">
        <f t="shared" si="9"/>
        <v>0</v>
      </c>
      <c r="N31" s="13">
        <f t="shared" si="9"/>
        <v>0</v>
      </c>
      <c r="O31" s="20"/>
    </row>
    <row r="32" ht="15.75" customHeight="1">
      <c r="A32" s="14" t="s">
        <v>95</v>
      </c>
      <c r="B32" s="8"/>
      <c r="C32" s="15">
        <f t="shared" ref="C32:N32" si="10">C29</f>
        <v>0</v>
      </c>
      <c r="D32" s="15">
        <f t="shared" si="10"/>
        <v>0</v>
      </c>
      <c r="E32" s="15">
        <f t="shared" si="10"/>
        <v>0</v>
      </c>
      <c r="F32" s="15">
        <f t="shared" si="10"/>
        <v>0</v>
      </c>
      <c r="G32" s="15">
        <f t="shared" si="10"/>
        <v>0</v>
      </c>
      <c r="H32" s="15">
        <f t="shared" si="10"/>
        <v>0</v>
      </c>
      <c r="I32" s="15">
        <f t="shared" si="10"/>
        <v>0</v>
      </c>
      <c r="J32" s="15">
        <f t="shared" si="10"/>
        <v>0</v>
      </c>
      <c r="K32" s="15">
        <f t="shared" si="10"/>
        <v>0</v>
      </c>
      <c r="L32" s="15">
        <f t="shared" si="10"/>
        <v>0</v>
      </c>
      <c r="M32" s="15">
        <f t="shared" si="10"/>
        <v>0</v>
      </c>
      <c r="N32" s="15">
        <f t="shared" si="10"/>
        <v>0</v>
      </c>
      <c r="O32" s="15">
        <f>SUM(C32:N32)</f>
        <v>0</v>
      </c>
    </row>
    <row r="33" ht="15.75" customHeight="1">
      <c r="A33" s="11" t="s">
        <v>97</v>
      </c>
      <c r="B33" s="12"/>
      <c r="C33" s="13">
        <f t="shared" ref="C33:N33" si="11">C31+C32</f>
        <v>0</v>
      </c>
      <c r="D33" s="13">
        <f t="shared" si="11"/>
        <v>0</v>
      </c>
      <c r="E33" s="13">
        <f t="shared" si="11"/>
        <v>0</v>
      </c>
      <c r="F33" s="13">
        <f t="shared" si="11"/>
        <v>0</v>
      </c>
      <c r="G33" s="13">
        <f t="shared" si="11"/>
        <v>0</v>
      </c>
      <c r="H33" s="13">
        <f t="shared" si="11"/>
        <v>0</v>
      </c>
      <c r="I33" s="13">
        <f t="shared" si="11"/>
        <v>0</v>
      </c>
      <c r="J33" s="13">
        <f t="shared" si="11"/>
        <v>0</v>
      </c>
      <c r="K33" s="13">
        <f t="shared" si="11"/>
        <v>0</v>
      </c>
      <c r="L33" s="13">
        <f t="shared" si="11"/>
        <v>0</v>
      </c>
      <c r="M33" s="13">
        <f t="shared" si="11"/>
        <v>0</v>
      </c>
      <c r="N33" s="13">
        <f t="shared" si="11"/>
        <v>0</v>
      </c>
      <c r="O33" s="13">
        <f>N33</f>
        <v>0</v>
      </c>
    </row>
    <row r="34" ht="15.75" customHeight="1"/>
    <row r="35" ht="15.75" customHeight="1"/>
    <row r="36" ht="15.75" customHeight="1"/>
    <row r="37" ht="15.75" customHeight="1"/>
    <row r="38" ht="15.75" customHeight="1">
      <c r="A38" s="7" t="s">
        <v>111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8"/>
      <c r="C39" s="9" t="s">
        <v>99</v>
      </c>
      <c r="D39" s="9" t="s">
        <v>100</v>
      </c>
      <c r="E39" s="9" t="s">
        <v>101</v>
      </c>
      <c r="F39" s="9" t="s">
        <v>102</v>
      </c>
      <c r="G39" s="9" t="s">
        <v>103</v>
      </c>
      <c r="H39" s="9" t="s">
        <v>104</v>
      </c>
      <c r="I39" s="9" t="s">
        <v>105</v>
      </c>
      <c r="J39" s="9" t="s">
        <v>106</v>
      </c>
      <c r="K39" s="9" t="s">
        <v>107</v>
      </c>
      <c r="L39" s="9" t="s">
        <v>108</v>
      </c>
      <c r="M39" s="9" t="s">
        <v>109</v>
      </c>
      <c r="N39" s="9" t="s">
        <v>110</v>
      </c>
      <c r="O39" s="9" t="s">
        <v>72</v>
      </c>
    </row>
    <row r="40" ht="15.75" customHeight="1">
      <c r="A40" s="8"/>
      <c r="B40" s="8"/>
      <c r="C40" s="19">
        <v>45292.0</v>
      </c>
      <c r="D40" s="19">
        <v>45323.0</v>
      </c>
      <c r="E40" s="19">
        <v>45352.0</v>
      </c>
      <c r="F40" s="19">
        <v>45383.0</v>
      </c>
      <c r="G40" s="19">
        <v>45413.0</v>
      </c>
      <c r="H40" s="19">
        <v>45444.0</v>
      </c>
      <c r="I40" s="19">
        <v>45474.0</v>
      </c>
      <c r="J40" s="19">
        <v>45505.0</v>
      </c>
      <c r="K40" s="19">
        <v>45536.0</v>
      </c>
      <c r="L40" s="19">
        <v>45566.0</v>
      </c>
      <c r="M40" s="19">
        <v>45597.0</v>
      </c>
      <c r="N40" s="19">
        <v>45627.0</v>
      </c>
      <c r="O40" s="8"/>
    </row>
    <row r="41" ht="15.75" customHeight="1">
      <c r="A41" s="11" t="s">
        <v>73</v>
      </c>
      <c r="B41" s="12"/>
      <c r="C41" s="13">
        <f t="shared" ref="C41:N41" si="12">SUM(C5:C9)</f>
        <v>0</v>
      </c>
      <c r="D41" s="13">
        <f t="shared" si="12"/>
        <v>0</v>
      </c>
      <c r="E41" s="13">
        <f t="shared" si="12"/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ref="O41:O46" si="13">SUM(C4:N4)</f>
        <v>0</v>
      </c>
    </row>
    <row r="42" ht="15.75" customHeight="1">
      <c r="A42" s="14" t="s">
        <v>74</v>
      </c>
      <c r="B42" s="8"/>
      <c r="C42" s="15">
        <f>SUMIFS('2023-2024 Tracker'!$K$2:$K$5000,'2023-2024 Tracker'!$A$2:$A$5000,"&gt;="&amp;C3,'2023-2024 Tracker'!$A$2:$A$5000,"&lt;="&amp;EOMONTH(C3,0),'2023-2024 Tracker'!$B$2:$B$5000,"Income",'2023-2024 Tracker'!$C$2:$C$5000,"Project payments")</f>
        <v>0</v>
      </c>
      <c r="D42" s="15">
        <f>SUMIFS('2023-2024 Tracker'!$K$2:$K$5000,'2023-2024 Tracker'!$A$2:$A$5000,"&gt;="&amp;D3,'2023-2024 Tracker'!$A$2:$A$5000,"&lt;="&amp;EOMONTH(D3,0),'2023-2024 Tracker'!$B$2:$B$5000,"Income",'2023-2024 Tracker'!$C$2:$C$5000,"Project payments")</f>
        <v>0</v>
      </c>
      <c r="E42" s="15">
        <f>SUMIFS('2023-2024 Tracker'!$K$2:$K$5000,'2023-2024 Tracker'!$A$2:$A$5000,"&gt;="&amp;E3,'2023-2024 Tracker'!$A$2:$A$5000,"&lt;="&amp;EOMONTH(E3,0),'2023-2024 Tracker'!$B$2:$B$5000,"Income",'2023-2024 Tracker'!$C$2:$C$5000,"Project payments")</f>
        <v>0</v>
      </c>
      <c r="F42" s="15">
        <f>SUMIFS('2023-2024 Tracker'!$K$2:$K$5000,'2023-2024 Tracker'!$A$2:$A$5000,"&gt;="&amp;F3,'2023-2024 Tracker'!$A$2:$A$5000,"&lt;="&amp;EOMONTH(F3,0),'2023-2024 Tracker'!$B$2:$B$5000,"Income",'2023-2024 Tracker'!$C$2:$C$5000,"Project payments")</f>
        <v>0</v>
      </c>
      <c r="G42" s="15">
        <f>SUMIFS('2023-2024 Tracker'!$K$2:$K$5000,'2023-2024 Tracker'!$A$2:$A$5000,"&gt;="&amp;G3,'2023-2024 Tracker'!$A$2:$A$5000,"&lt;="&amp;EOMONTH(G3,0),'2023-2024 Tracker'!$B$2:$B$5000,"Income",'2023-2024 Tracker'!$C$2:$C$5000,"Project payments")</f>
        <v>0</v>
      </c>
      <c r="H42" s="15">
        <f>SUMIFS('2023-2024 Tracker'!$K$2:$K$5000,'2023-2024 Tracker'!$A$2:$A$5000,"&gt;="&amp;H3,'2023-2024 Tracker'!$A$2:$A$5000,"&lt;="&amp;EOMONTH(H3,0),'2023-2024 Tracker'!$B$2:$B$5000,"Income",'2023-2024 Tracker'!$C$2:$C$5000,"Project payments")</f>
        <v>0</v>
      </c>
      <c r="I42" s="15">
        <f>SUMIFS('2023-2024 Tracker'!$K$2:$K$5000,'2023-2024 Tracker'!$A$2:$A$5000,"&gt;="&amp;I3,'2023-2024 Tracker'!$A$2:$A$5000,"&lt;="&amp;EOMONTH(I3,0),'2023-2024 Tracker'!$B$2:$B$5000,"Income",'2023-2024 Tracker'!$C$2:$C$5000,"Project payments")</f>
        <v>0</v>
      </c>
      <c r="J42" s="15">
        <f>SUMIFS('2023-2024 Tracker'!$K$2:$K$5000,'2023-2024 Tracker'!$A$2:$A$5000,"&gt;="&amp;J3,'2023-2024 Tracker'!$A$2:$A$5000,"&lt;="&amp;EOMONTH(J3,0),'2023-2024 Tracker'!$B$2:$B$5000,"Income",'2023-2024 Tracker'!$C$2:$C$5000,"Project payments")</f>
        <v>0</v>
      </c>
      <c r="K42" s="15">
        <f>SUMIFS('2023-2024 Tracker'!$K$2:$K$5000,'2023-2024 Tracker'!$A$2:$A$5000,"&gt;="&amp;K3,'2023-2024 Tracker'!$A$2:$A$5000,"&lt;="&amp;EOMONTH(K3,0),'2023-2024 Tracker'!$B$2:$B$5000,"Income",'2023-2024 Tracker'!$C$2:$C$5000,"Project payments")</f>
        <v>0</v>
      </c>
      <c r="L42" s="15">
        <f>SUMIFS('2023-2024 Tracker'!$K$2:$K$5000,'2023-2024 Tracker'!$A$2:$A$5000,"&gt;="&amp;L3,'2023-2024 Tracker'!$A$2:$A$5000,"&lt;="&amp;EOMONTH(L3,0),'2023-2024 Tracker'!$B$2:$B$5000,"Income",'2023-2024 Tracker'!$C$2:$C$5000,"Project payments")</f>
        <v>0</v>
      </c>
      <c r="M42" s="15">
        <f>SUMIFS('2023-2024 Tracker'!$K$2:$K$5000,'2023-2024 Tracker'!$A$2:$A$5000,"&gt;="&amp;M3,'2023-2024 Tracker'!$A$2:$A$5000,"&lt;="&amp;EOMONTH(M3,0),'2023-2024 Tracker'!$B$2:$B$5000,"Income",'2023-2024 Tracker'!$C$2:$C$5000,"Project payments")</f>
        <v>0</v>
      </c>
      <c r="N42" s="15">
        <f>SUMIFS('2023-2024 Tracker'!$K$2:$K$5000,'2023-2024 Tracker'!$A$2:$A$5000,"&gt;="&amp;N3,'2023-2024 Tracker'!$A$2:$A$5000,"&lt;="&amp;EOMONTH(N3,0),'2023-2024 Tracker'!$B$2:$B$5000,"Income",'2023-2024 Tracker'!$C$2:$C$5000,"Project payments")</f>
        <v>0</v>
      </c>
      <c r="O42" s="16">
        <f t="shared" si="13"/>
        <v>0</v>
      </c>
    </row>
    <row r="43" ht="15.75" customHeight="1">
      <c r="A43" s="14" t="s">
        <v>75</v>
      </c>
      <c r="B43" s="8"/>
      <c r="C43" s="15">
        <f>SUMIFS('2023-2024 Tracker'!$K$2:$K$5000,'2023-2024 Tracker'!$A$2:$A$5000,"&gt;="&amp;C3,'2023-2024 Tracker'!$A$2:$A$5000,"&lt;="&amp;EOMONTH(C3,0),'2023-2024 Tracker'!$B$2:$B$5000,"Income",'2023-2024 Tracker'!$C$2:$C$5000,"Retainers")</f>
        <v>0</v>
      </c>
      <c r="D43" s="15">
        <f>SUMIFS('2023-2024 Tracker'!$K$2:$K$5000,'2023-2024 Tracker'!$A$2:$A$5000,"&gt;="&amp;D3,'2023-2024 Tracker'!$A$2:$A$5000,"&lt;="&amp;EOMONTH(D3,0),'2023-2024 Tracker'!$B$2:$B$5000,"Income",'2023-2024 Tracker'!$C$2:$C$5000,"Retainers")</f>
        <v>0</v>
      </c>
      <c r="E43" s="15">
        <f>SUMIFS('2023-2024 Tracker'!$K$2:$K$5000,'2023-2024 Tracker'!$A$2:$A$5000,"&gt;="&amp;E3,'2023-2024 Tracker'!$A$2:$A$5000,"&lt;="&amp;EOMONTH(E3,0),'2023-2024 Tracker'!$B$2:$B$5000,"Income",'2023-2024 Tracker'!$C$2:$C$5000,"Retainers")</f>
        <v>0</v>
      </c>
      <c r="F43" s="15">
        <f>SUMIFS('2023-2024 Tracker'!$K$2:$K$5000,'2023-2024 Tracker'!$A$2:$A$5000,"&gt;="&amp;F3,'2023-2024 Tracker'!$A$2:$A$5000,"&lt;="&amp;EOMONTH(F3,0),'2023-2024 Tracker'!$B$2:$B$5000,"Income",'2023-2024 Tracker'!$C$2:$C$5000,"Retainers")</f>
        <v>0</v>
      </c>
      <c r="G43" s="15">
        <f>SUMIFS('2023-2024 Tracker'!$K$2:$K$5000,'2023-2024 Tracker'!$A$2:$A$5000,"&gt;="&amp;G3,'2023-2024 Tracker'!$A$2:$A$5000,"&lt;="&amp;EOMONTH(G3,0),'2023-2024 Tracker'!$B$2:$B$5000,"Income",'2023-2024 Tracker'!$C$2:$C$5000,"Retainers")</f>
        <v>0</v>
      </c>
      <c r="H43" s="15">
        <f>SUMIFS('2023-2024 Tracker'!$K$2:$K$5000,'2023-2024 Tracker'!$A$2:$A$5000,"&gt;="&amp;H3,'2023-2024 Tracker'!$A$2:$A$5000,"&lt;="&amp;EOMONTH(H3,0),'2023-2024 Tracker'!$B$2:$B$5000,"Income",'2023-2024 Tracker'!$C$2:$C$5000,"Retainers")</f>
        <v>0</v>
      </c>
      <c r="I43" s="15">
        <f>SUMIFS('2023-2024 Tracker'!$K$2:$K$5000,'2023-2024 Tracker'!$A$2:$A$5000,"&gt;="&amp;I3,'2023-2024 Tracker'!$A$2:$A$5000,"&lt;="&amp;EOMONTH(I3,0),'2023-2024 Tracker'!$B$2:$B$5000,"Income",'2023-2024 Tracker'!$C$2:$C$5000,"Retainers")</f>
        <v>0</v>
      </c>
      <c r="J43" s="15">
        <f>SUMIFS('2023-2024 Tracker'!$K$2:$K$5000,'2023-2024 Tracker'!$A$2:$A$5000,"&gt;="&amp;J3,'2023-2024 Tracker'!$A$2:$A$5000,"&lt;="&amp;EOMONTH(J3,0),'2023-2024 Tracker'!$B$2:$B$5000,"Income",'2023-2024 Tracker'!$C$2:$C$5000,"Retainers")</f>
        <v>0</v>
      </c>
      <c r="K43" s="15">
        <f>SUMIFS('2023-2024 Tracker'!$K$2:$K$5000,'2023-2024 Tracker'!$A$2:$A$5000,"&gt;="&amp;K3,'2023-2024 Tracker'!$A$2:$A$5000,"&lt;="&amp;EOMONTH(K3,0),'2023-2024 Tracker'!$B$2:$B$5000,"Income",'2023-2024 Tracker'!$C$2:$C$5000,"Retainers")</f>
        <v>0</v>
      </c>
      <c r="L43" s="15">
        <f>SUMIFS('2023-2024 Tracker'!$K$2:$K$5000,'2023-2024 Tracker'!$A$2:$A$5000,"&gt;="&amp;L3,'2023-2024 Tracker'!$A$2:$A$5000,"&lt;="&amp;EOMONTH(L3,0),'2023-2024 Tracker'!$B$2:$B$5000,"Income",'2023-2024 Tracker'!$C$2:$C$5000,"Retainers")</f>
        <v>0</v>
      </c>
      <c r="M43" s="15">
        <f>SUMIFS('2023-2024 Tracker'!$K$2:$K$5000,'2023-2024 Tracker'!$A$2:$A$5000,"&gt;="&amp;M3,'2023-2024 Tracker'!$A$2:$A$5000,"&lt;="&amp;EOMONTH(M3,0),'2023-2024 Tracker'!$B$2:$B$5000,"Income",'2023-2024 Tracker'!$C$2:$C$5000,"Retainers")</f>
        <v>0</v>
      </c>
      <c r="N43" s="15">
        <f>SUMIFS('2023-2024 Tracker'!$K$2:$K$5000,'2023-2024 Tracker'!$A$2:$A$5000,"&gt;="&amp;N3,'2023-2024 Tracker'!$A$2:$A$5000,"&lt;="&amp;EOMONTH(N3,0),'2023-2024 Tracker'!$B$2:$B$5000,"Income",'2023-2024 Tracker'!$C$2:$C$5000,"Retainers")</f>
        <v>0</v>
      </c>
      <c r="O43" s="16">
        <f t="shared" si="13"/>
        <v>0</v>
      </c>
    </row>
    <row r="44" ht="15.75" customHeight="1">
      <c r="A44" s="14" t="s">
        <v>76</v>
      </c>
      <c r="B44" s="8"/>
      <c r="C44" s="15">
        <f>SUMIFS('2023-2024 Tracker'!$K$2:$K$5000,'2023-2024 Tracker'!$A$2:$A$5000,"&gt;="&amp;C3,'2023-2024 Tracker'!$A$2:$A$5000,"&lt;="&amp;EOMONTH(C3,0),'2023-2024 Tracker'!$B$2:$B$5000,"Income",'2023-2024 Tracker'!$C$2:$C$5000,"Grants")</f>
        <v>0</v>
      </c>
      <c r="D44" s="15">
        <f>SUMIFS('2023-2024 Tracker'!$K$2:$K$5000,'2023-2024 Tracker'!$A$2:$A$5000,"&gt;="&amp;D3,'2023-2024 Tracker'!$A$2:$A$5000,"&lt;="&amp;EOMONTH(D3,0),'2023-2024 Tracker'!$B$2:$B$5000,"Income",'2023-2024 Tracker'!$C$2:$C$5000,"Grants")</f>
        <v>0</v>
      </c>
      <c r="E44" s="15">
        <f>SUMIFS('2023-2024 Tracker'!$K$2:$K$5000,'2023-2024 Tracker'!$A$2:$A$5000,"&gt;="&amp;E3,'2023-2024 Tracker'!$A$2:$A$5000,"&lt;="&amp;EOMONTH(E3,0),'2023-2024 Tracker'!$B$2:$B$5000,"Income",'2023-2024 Tracker'!$C$2:$C$5000,"Grants")</f>
        <v>0</v>
      </c>
      <c r="F44" s="15">
        <f>SUMIFS('2023-2024 Tracker'!$K$2:$K$5000,'2023-2024 Tracker'!$A$2:$A$5000,"&gt;="&amp;F3,'2023-2024 Tracker'!$A$2:$A$5000,"&lt;="&amp;EOMONTH(F3,0),'2023-2024 Tracker'!$B$2:$B$5000,"Income",'2023-2024 Tracker'!$C$2:$C$5000,"Grants")</f>
        <v>0</v>
      </c>
      <c r="G44" s="15">
        <f>SUMIFS('2023-2024 Tracker'!$K$2:$K$5000,'2023-2024 Tracker'!$A$2:$A$5000,"&gt;="&amp;G3,'2023-2024 Tracker'!$A$2:$A$5000,"&lt;="&amp;EOMONTH(G3,0),'2023-2024 Tracker'!$B$2:$B$5000,"Income",'2023-2024 Tracker'!$C$2:$C$5000,"Grants")</f>
        <v>0</v>
      </c>
      <c r="H44" s="15">
        <f>SUMIFS('2023-2024 Tracker'!$K$2:$K$5000,'2023-2024 Tracker'!$A$2:$A$5000,"&gt;="&amp;H3,'2023-2024 Tracker'!$A$2:$A$5000,"&lt;="&amp;EOMONTH(H3,0),'2023-2024 Tracker'!$B$2:$B$5000,"Income",'2023-2024 Tracker'!$C$2:$C$5000,"Grants")</f>
        <v>0</v>
      </c>
      <c r="I44" s="15">
        <f>SUMIFS('2023-2024 Tracker'!$K$2:$K$5000,'2023-2024 Tracker'!$A$2:$A$5000,"&gt;="&amp;I3,'2023-2024 Tracker'!$A$2:$A$5000,"&lt;="&amp;EOMONTH(I3,0),'2023-2024 Tracker'!$B$2:$B$5000,"Income",'2023-2024 Tracker'!$C$2:$C$5000,"Grants")</f>
        <v>0</v>
      </c>
      <c r="J44" s="15">
        <f>SUMIFS('2023-2024 Tracker'!$K$2:$K$5000,'2023-2024 Tracker'!$A$2:$A$5000,"&gt;="&amp;J3,'2023-2024 Tracker'!$A$2:$A$5000,"&lt;="&amp;EOMONTH(J3,0),'2023-2024 Tracker'!$B$2:$B$5000,"Income",'2023-2024 Tracker'!$C$2:$C$5000,"Grants")</f>
        <v>0</v>
      </c>
      <c r="K44" s="15">
        <f>SUMIFS('2023-2024 Tracker'!$K$2:$K$5000,'2023-2024 Tracker'!$A$2:$A$5000,"&gt;="&amp;K3,'2023-2024 Tracker'!$A$2:$A$5000,"&lt;="&amp;EOMONTH(K3,0),'2023-2024 Tracker'!$B$2:$B$5000,"Income",'2023-2024 Tracker'!$C$2:$C$5000,"Grants")</f>
        <v>0</v>
      </c>
      <c r="L44" s="15">
        <f>SUMIFS('2023-2024 Tracker'!$K$2:$K$5000,'2023-2024 Tracker'!$A$2:$A$5000,"&gt;="&amp;L3,'2023-2024 Tracker'!$A$2:$A$5000,"&lt;="&amp;EOMONTH(L3,0),'2023-2024 Tracker'!$B$2:$B$5000,"Income",'2023-2024 Tracker'!$C$2:$C$5000,"Grants")</f>
        <v>0</v>
      </c>
      <c r="M44" s="15">
        <f>SUMIFS('2023-2024 Tracker'!$K$2:$K$5000,'2023-2024 Tracker'!$A$2:$A$5000,"&gt;="&amp;M3,'2023-2024 Tracker'!$A$2:$A$5000,"&lt;="&amp;EOMONTH(M3,0),'2023-2024 Tracker'!$B$2:$B$5000,"Income",'2023-2024 Tracker'!$C$2:$C$5000,"Grants")</f>
        <v>0</v>
      </c>
      <c r="N44" s="15">
        <f>SUMIFS('2023-2024 Tracker'!$K$2:$K$5000,'2023-2024 Tracker'!$A$2:$A$5000,"&gt;="&amp;N3,'2023-2024 Tracker'!$A$2:$A$5000,"&lt;="&amp;EOMONTH(N3,0),'2023-2024 Tracker'!$B$2:$B$5000,"Income",'2023-2024 Tracker'!$C$2:$C$5000,"Grants")</f>
        <v>0</v>
      </c>
      <c r="O44" s="16">
        <f t="shared" si="13"/>
        <v>0</v>
      </c>
    </row>
    <row r="45" ht="15.75" customHeight="1">
      <c r="A45" s="14" t="s">
        <v>77</v>
      </c>
      <c r="B45" s="8"/>
      <c r="C45" s="15">
        <f>SUMIFS('2023-2024 Tracker'!$K$2:$K$5000,'2023-2024 Tracker'!$A$2:$A$5000,"&gt;="&amp;C3,'2023-2024 Tracker'!$A$2:$A$5000,"&lt;="&amp;EOMONTH(C3,0),'2023-2024 Tracker'!$B$2:$B$5000,"Income",'2023-2024 Tracker'!$C$2:$C$5000,"Consulting/Services")</f>
        <v>0</v>
      </c>
      <c r="D45" s="15">
        <f>SUMIFS('2023-2024 Tracker'!$K$2:$K$5000,'2023-2024 Tracker'!$A$2:$A$5000,"&gt;="&amp;D3,'2023-2024 Tracker'!$A$2:$A$5000,"&lt;="&amp;EOMONTH(D3,0),'2023-2024 Tracker'!$B$2:$B$5000,"Income",'2023-2024 Tracker'!$C$2:$C$5000,"Consulting/Services")</f>
        <v>0</v>
      </c>
      <c r="E45" s="15">
        <f>SUMIFS('2023-2024 Tracker'!$K$2:$K$5000,'2023-2024 Tracker'!$A$2:$A$5000,"&gt;="&amp;E3,'2023-2024 Tracker'!$A$2:$A$5000,"&lt;="&amp;EOMONTH(E3,0),'2023-2024 Tracker'!$B$2:$B$5000,"Income",'2023-2024 Tracker'!$C$2:$C$5000,"Consulting/Services")</f>
        <v>0</v>
      </c>
      <c r="F45" s="15">
        <f>SUMIFS('2023-2024 Tracker'!$K$2:$K$5000,'2023-2024 Tracker'!$A$2:$A$5000,"&gt;="&amp;F3,'2023-2024 Tracker'!$A$2:$A$5000,"&lt;="&amp;EOMONTH(F3,0),'2023-2024 Tracker'!$B$2:$B$5000,"Income",'2023-2024 Tracker'!$C$2:$C$5000,"Consulting/Services")</f>
        <v>0</v>
      </c>
      <c r="G45" s="15">
        <f>SUMIFS('2023-2024 Tracker'!$K$2:$K$5000,'2023-2024 Tracker'!$A$2:$A$5000,"&gt;="&amp;G3,'2023-2024 Tracker'!$A$2:$A$5000,"&lt;="&amp;EOMONTH(G3,0),'2023-2024 Tracker'!$B$2:$B$5000,"Income",'2023-2024 Tracker'!$C$2:$C$5000,"Consulting/Services")</f>
        <v>0</v>
      </c>
      <c r="H45" s="15">
        <f>SUMIFS('2023-2024 Tracker'!$K$2:$K$5000,'2023-2024 Tracker'!$A$2:$A$5000,"&gt;="&amp;H3,'2023-2024 Tracker'!$A$2:$A$5000,"&lt;="&amp;EOMONTH(H3,0),'2023-2024 Tracker'!$B$2:$B$5000,"Income",'2023-2024 Tracker'!$C$2:$C$5000,"Consulting/Services")</f>
        <v>0</v>
      </c>
      <c r="I45" s="15">
        <f>SUMIFS('2023-2024 Tracker'!$K$2:$K$5000,'2023-2024 Tracker'!$A$2:$A$5000,"&gt;="&amp;I3,'2023-2024 Tracker'!$A$2:$A$5000,"&lt;="&amp;EOMONTH(I3,0),'2023-2024 Tracker'!$B$2:$B$5000,"Income",'2023-2024 Tracker'!$C$2:$C$5000,"Consulting/Services")</f>
        <v>0</v>
      </c>
      <c r="J45" s="15">
        <f>SUMIFS('2023-2024 Tracker'!$K$2:$K$5000,'2023-2024 Tracker'!$A$2:$A$5000,"&gt;="&amp;J3,'2023-2024 Tracker'!$A$2:$A$5000,"&lt;="&amp;EOMONTH(J3,0),'2023-2024 Tracker'!$B$2:$B$5000,"Income",'2023-2024 Tracker'!$C$2:$C$5000,"Consulting/Services")</f>
        <v>0</v>
      </c>
      <c r="K45" s="15">
        <f>SUMIFS('2023-2024 Tracker'!$K$2:$K$5000,'2023-2024 Tracker'!$A$2:$A$5000,"&gt;="&amp;K3,'2023-2024 Tracker'!$A$2:$A$5000,"&lt;="&amp;EOMONTH(K3,0),'2023-2024 Tracker'!$B$2:$B$5000,"Income",'2023-2024 Tracker'!$C$2:$C$5000,"Consulting/Services")</f>
        <v>0</v>
      </c>
      <c r="L45" s="15">
        <f>SUMIFS('2023-2024 Tracker'!$K$2:$K$5000,'2023-2024 Tracker'!$A$2:$A$5000,"&gt;="&amp;L3,'2023-2024 Tracker'!$A$2:$A$5000,"&lt;="&amp;EOMONTH(L3,0),'2023-2024 Tracker'!$B$2:$B$5000,"Income",'2023-2024 Tracker'!$C$2:$C$5000,"Consulting/Services")</f>
        <v>0</v>
      </c>
      <c r="M45" s="15">
        <f>SUMIFS('2023-2024 Tracker'!$K$2:$K$5000,'2023-2024 Tracker'!$A$2:$A$5000,"&gt;="&amp;M3,'2023-2024 Tracker'!$A$2:$A$5000,"&lt;="&amp;EOMONTH(M3,0),'2023-2024 Tracker'!$B$2:$B$5000,"Income",'2023-2024 Tracker'!$C$2:$C$5000,"Consulting/Services")</f>
        <v>0</v>
      </c>
      <c r="N45" s="15">
        <f>SUMIFS('2023-2024 Tracker'!$K$2:$K$5000,'2023-2024 Tracker'!$A$2:$A$5000,"&gt;="&amp;N3,'2023-2024 Tracker'!$A$2:$A$5000,"&lt;="&amp;EOMONTH(N3,0),'2023-2024 Tracker'!$B$2:$B$5000,"Income",'2023-2024 Tracker'!$C$2:$C$5000,"Consulting/Services")</f>
        <v>0</v>
      </c>
      <c r="O45" s="16">
        <f t="shared" si="13"/>
        <v>0</v>
      </c>
    </row>
    <row r="46" ht="15.75" customHeight="1">
      <c r="A46" s="14" t="s">
        <v>78</v>
      </c>
      <c r="B46" s="8"/>
      <c r="C46" s="15">
        <f>SUMIFS('2023-2024 Tracker'!$K$2:$K$5000,'2023-2024 Tracker'!$A$2:$A$5000,"&gt;="&amp;C3,'2023-2024 Tracker'!$A$2:$A$5000,"&lt;="&amp;EOMONTH(C3,0),'2023-2024 Tracker'!$B$2:$B$5000,"Income",'2023-2024 Tracker'!$C$2:$C$5000,"Other income")</f>
        <v>0</v>
      </c>
      <c r="D46" s="15">
        <f>SUMIFS('2023-2024 Tracker'!$K$2:$K$5000,'2023-2024 Tracker'!$A$2:$A$5000,"&gt;="&amp;D3,'2023-2024 Tracker'!$A$2:$A$5000,"&lt;="&amp;EOMONTH(D3,0),'2023-2024 Tracker'!$B$2:$B$5000,"Income",'2023-2024 Tracker'!$C$2:$C$5000,"Other income")</f>
        <v>0</v>
      </c>
      <c r="E46" s="15">
        <f>SUMIFS('2023-2024 Tracker'!$K$2:$K$5000,'2023-2024 Tracker'!$A$2:$A$5000,"&gt;="&amp;E3,'2023-2024 Tracker'!$A$2:$A$5000,"&lt;="&amp;EOMONTH(E3,0),'2023-2024 Tracker'!$B$2:$B$5000,"Income",'2023-2024 Tracker'!$C$2:$C$5000,"Other income")</f>
        <v>0</v>
      </c>
      <c r="F46" s="15">
        <f>SUMIFS('2023-2024 Tracker'!$K$2:$K$5000,'2023-2024 Tracker'!$A$2:$A$5000,"&gt;="&amp;F3,'2023-2024 Tracker'!$A$2:$A$5000,"&lt;="&amp;EOMONTH(F3,0),'2023-2024 Tracker'!$B$2:$B$5000,"Income",'2023-2024 Tracker'!$C$2:$C$5000,"Other income")</f>
        <v>0</v>
      </c>
      <c r="G46" s="15">
        <f>SUMIFS('2023-2024 Tracker'!$K$2:$K$5000,'2023-2024 Tracker'!$A$2:$A$5000,"&gt;="&amp;G3,'2023-2024 Tracker'!$A$2:$A$5000,"&lt;="&amp;EOMONTH(G3,0),'2023-2024 Tracker'!$B$2:$B$5000,"Income",'2023-2024 Tracker'!$C$2:$C$5000,"Other income")</f>
        <v>0</v>
      </c>
      <c r="H46" s="15">
        <f>SUMIFS('2023-2024 Tracker'!$K$2:$K$5000,'2023-2024 Tracker'!$A$2:$A$5000,"&gt;="&amp;H3,'2023-2024 Tracker'!$A$2:$A$5000,"&lt;="&amp;EOMONTH(H3,0),'2023-2024 Tracker'!$B$2:$B$5000,"Income",'2023-2024 Tracker'!$C$2:$C$5000,"Other income")</f>
        <v>0</v>
      </c>
      <c r="I46" s="15">
        <f>SUMIFS('2023-2024 Tracker'!$K$2:$K$5000,'2023-2024 Tracker'!$A$2:$A$5000,"&gt;="&amp;I3,'2023-2024 Tracker'!$A$2:$A$5000,"&lt;="&amp;EOMONTH(I3,0),'2023-2024 Tracker'!$B$2:$B$5000,"Income",'2023-2024 Tracker'!$C$2:$C$5000,"Other income")</f>
        <v>0</v>
      </c>
      <c r="J46" s="15">
        <f>SUMIFS('2023-2024 Tracker'!$K$2:$K$5000,'2023-2024 Tracker'!$A$2:$A$5000,"&gt;="&amp;J3,'2023-2024 Tracker'!$A$2:$A$5000,"&lt;="&amp;EOMONTH(J3,0),'2023-2024 Tracker'!$B$2:$B$5000,"Income",'2023-2024 Tracker'!$C$2:$C$5000,"Other income")</f>
        <v>0</v>
      </c>
      <c r="K46" s="15">
        <f>SUMIFS('2023-2024 Tracker'!$K$2:$K$5000,'2023-2024 Tracker'!$A$2:$A$5000,"&gt;="&amp;K3,'2023-2024 Tracker'!$A$2:$A$5000,"&lt;="&amp;EOMONTH(K3,0),'2023-2024 Tracker'!$B$2:$B$5000,"Income",'2023-2024 Tracker'!$C$2:$C$5000,"Other income")</f>
        <v>0</v>
      </c>
      <c r="L46" s="15">
        <f>SUMIFS('2023-2024 Tracker'!$K$2:$K$5000,'2023-2024 Tracker'!$A$2:$A$5000,"&gt;="&amp;L3,'2023-2024 Tracker'!$A$2:$A$5000,"&lt;="&amp;EOMONTH(L3,0),'2023-2024 Tracker'!$B$2:$B$5000,"Income",'2023-2024 Tracker'!$C$2:$C$5000,"Other income")</f>
        <v>0</v>
      </c>
      <c r="M46" s="15">
        <f>SUMIFS('2023-2024 Tracker'!$K$2:$K$5000,'2023-2024 Tracker'!$A$2:$A$5000,"&gt;="&amp;M3,'2023-2024 Tracker'!$A$2:$A$5000,"&lt;="&amp;EOMONTH(M3,0),'2023-2024 Tracker'!$B$2:$B$5000,"Income",'2023-2024 Tracker'!$C$2:$C$5000,"Other income")</f>
        <v>0</v>
      </c>
      <c r="N46" s="15">
        <f>SUMIFS('2023-2024 Tracker'!$K$2:$K$5000,'2023-2024 Tracker'!$A$2:$A$5000,"&gt;="&amp;N3,'2023-2024 Tracker'!$A$2:$A$5000,"&lt;="&amp;EOMONTH(N3,0),'2023-2024 Tracker'!$B$2:$B$5000,"Income",'2023-2024 Tracker'!$C$2:$C$5000,"Other income")</f>
        <v>0</v>
      </c>
      <c r="O46" s="16">
        <f t="shared" si="13"/>
        <v>0</v>
      </c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11" t="s">
        <v>79</v>
      </c>
      <c r="B48" s="12"/>
      <c r="C48" s="13">
        <f t="shared" ref="C48:N48" si="14">C12+C19</f>
        <v>0</v>
      </c>
      <c r="D48" s="13">
        <f t="shared" si="14"/>
        <v>0</v>
      </c>
      <c r="E48" s="13">
        <f t="shared" si="14"/>
        <v>0</v>
      </c>
      <c r="F48" s="13">
        <f t="shared" si="14"/>
        <v>0</v>
      </c>
      <c r="G48" s="13">
        <f t="shared" si="14"/>
        <v>0</v>
      </c>
      <c r="H48" s="13">
        <f t="shared" si="14"/>
        <v>0</v>
      </c>
      <c r="I48" s="13">
        <f t="shared" si="14"/>
        <v>0</v>
      </c>
      <c r="J48" s="13">
        <f t="shared" si="14"/>
        <v>0</v>
      </c>
      <c r="K48" s="13">
        <f t="shared" si="14"/>
        <v>0</v>
      </c>
      <c r="L48" s="13">
        <f t="shared" si="14"/>
        <v>0</v>
      </c>
      <c r="M48" s="13">
        <f t="shared" si="14"/>
        <v>0</v>
      </c>
      <c r="N48" s="13">
        <f t="shared" si="14"/>
        <v>0</v>
      </c>
      <c r="O48" s="13">
        <f t="shared" ref="O48:O54" si="16">SUM(C11:N11)</f>
        <v>0</v>
      </c>
    </row>
    <row r="49" ht="15.75" customHeight="1">
      <c r="A49" s="17" t="s">
        <v>80</v>
      </c>
      <c r="B49" s="8"/>
      <c r="C49" s="15">
        <f t="shared" ref="C49:N49" si="15">SUM(C13:C17)</f>
        <v>0</v>
      </c>
      <c r="D49" s="15">
        <f t="shared" si="15"/>
        <v>0</v>
      </c>
      <c r="E49" s="15">
        <f t="shared" si="15"/>
        <v>0</v>
      </c>
      <c r="F49" s="15">
        <f t="shared" si="15"/>
        <v>0</v>
      </c>
      <c r="G49" s="15">
        <f t="shared" si="15"/>
        <v>0</v>
      </c>
      <c r="H49" s="15">
        <f t="shared" si="15"/>
        <v>0</v>
      </c>
      <c r="I49" s="15">
        <f t="shared" si="15"/>
        <v>0</v>
      </c>
      <c r="J49" s="15">
        <f t="shared" si="15"/>
        <v>0</v>
      </c>
      <c r="K49" s="15">
        <f t="shared" si="15"/>
        <v>0</v>
      </c>
      <c r="L49" s="15">
        <f t="shared" si="15"/>
        <v>0</v>
      </c>
      <c r="M49" s="15">
        <f t="shared" si="15"/>
        <v>0</v>
      </c>
      <c r="N49" s="15">
        <f t="shared" si="15"/>
        <v>0</v>
      </c>
      <c r="O49" s="18">
        <f t="shared" si="16"/>
        <v>0</v>
      </c>
    </row>
    <row r="50" ht="15.75" customHeight="1">
      <c r="A50" s="14" t="s">
        <v>81</v>
      </c>
      <c r="B50" s="8"/>
      <c r="C50" s="15">
        <f>SUMIFS('2023-2024 Tracker'!$K$2:$K$5000,'2023-2024 Tracker'!$A$2:$A$5000,"&gt;="&amp;C3,'2023-2024 Tracker'!$A$2:$A$5000,"&lt;="&amp;EOMONTH(C3,0),'2023-2024 Tracker'!$B$2:$B$5000,"Expense",'2023-2024 Tracker'!$C$2:$C$5000,"Fixed costs",'2023-2024 Tracker'!$D$2:$D$5000,"Obsidian Publish")</f>
        <v>0</v>
      </c>
      <c r="D50" s="15">
        <f>SUMIFS('2023-2024 Tracker'!$K$2:$K$5000,'2023-2024 Tracker'!$A$2:$A$5000,"&gt;="&amp;D3,'2023-2024 Tracker'!$A$2:$A$5000,"&lt;="&amp;EOMONTH(D3,0),'2023-2024 Tracker'!$B$2:$B$5000,"Expense",'2023-2024 Tracker'!$C$2:$C$5000,"Fixed costs",'2023-2024 Tracker'!$D$2:$D$5000,"Obsidian Publish")</f>
        <v>0</v>
      </c>
      <c r="E50" s="15">
        <f>SUMIFS('2023-2024 Tracker'!$K$2:$K$5000,'2023-2024 Tracker'!$A$2:$A$5000,"&gt;="&amp;E3,'2023-2024 Tracker'!$A$2:$A$5000,"&lt;="&amp;EOMONTH(E3,0),'2023-2024 Tracker'!$B$2:$B$5000,"Expense",'2023-2024 Tracker'!$C$2:$C$5000,"Fixed costs",'2023-2024 Tracker'!$D$2:$D$5000,"Obsidian Publish")</f>
        <v>0</v>
      </c>
      <c r="F50" s="15">
        <f>SUMIFS('2023-2024 Tracker'!$K$2:$K$5000,'2023-2024 Tracker'!$A$2:$A$5000,"&gt;="&amp;F3,'2023-2024 Tracker'!$A$2:$A$5000,"&lt;="&amp;EOMONTH(F3,0),'2023-2024 Tracker'!$B$2:$B$5000,"Expense",'2023-2024 Tracker'!$C$2:$C$5000,"Fixed costs",'2023-2024 Tracker'!$D$2:$D$5000,"Obsidian Publish")</f>
        <v>0</v>
      </c>
      <c r="G50" s="15">
        <f>SUMIFS('2023-2024 Tracker'!$K$2:$K$5000,'2023-2024 Tracker'!$A$2:$A$5000,"&gt;="&amp;G3,'2023-2024 Tracker'!$A$2:$A$5000,"&lt;="&amp;EOMONTH(G3,0),'2023-2024 Tracker'!$B$2:$B$5000,"Expense",'2023-2024 Tracker'!$C$2:$C$5000,"Fixed costs",'2023-2024 Tracker'!$D$2:$D$5000,"Obsidian Publish")</f>
        <v>0</v>
      </c>
      <c r="H50" s="15">
        <f>SUMIFS('2023-2024 Tracker'!$K$2:$K$5000,'2023-2024 Tracker'!$A$2:$A$5000,"&gt;="&amp;H3,'2023-2024 Tracker'!$A$2:$A$5000,"&lt;="&amp;EOMONTH(H3,0),'2023-2024 Tracker'!$B$2:$B$5000,"Expense",'2023-2024 Tracker'!$C$2:$C$5000,"Fixed costs",'2023-2024 Tracker'!$D$2:$D$5000,"Obsidian Publish")</f>
        <v>0</v>
      </c>
      <c r="I50" s="15">
        <f>SUMIFS('2023-2024 Tracker'!$K$2:$K$5000,'2023-2024 Tracker'!$A$2:$A$5000,"&gt;="&amp;I3,'2023-2024 Tracker'!$A$2:$A$5000,"&lt;="&amp;EOMONTH(I3,0),'2023-2024 Tracker'!$B$2:$B$5000,"Expense",'2023-2024 Tracker'!$C$2:$C$5000,"Fixed costs",'2023-2024 Tracker'!$D$2:$D$5000,"Obsidian Publish")</f>
        <v>0</v>
      </c>
      <c r="J50" s="15">
        <f>SUMIFS('2023-2024 Tracker'!$K$2:$K$5000,'2023-2024 Tracker'!$A$2:$A$5000,"&gt;="&amp;J3,'2023-2024 Tracker'!$A$2:$A$5000,"&lt;="&amp;EOMONTH(J3,0),'2023-2024 Tracker'!$B$2:$B$5000,"Expense",'2023-2024 Tracker'!$C$2:$C$5000,"Fixed costs",'2023-2024 Tracker'!$D$2:$D$5000,"Obsidian Publish")</f>
        <v>0</v>
      </c>
      <c r="K50" s="15">
        <f>SUMIFS('2023-2024 Tracker'!$K$2:$K$5000,'2023-2024 Tracker'!$A$2:$A$5000,"&gt;="&amp;K3,'2023-2024 Tracker'!$A$2:$A$5000,"&lt;="&amp;EOMONTH(K3,0),'2023-2024 Tracker'!$B$2:$B$5000,"Expense",'2023-2024 Tracker'!$C$2:$C$5000,"Fixed costs",'2023-2024 Tracker'!$D$2:$D$5000,"Obsidian Publish")</f>
        <v>0</v>
      </c>
      <c r="L50" s="15">
        <f>SUMIFS('2023-2024 Tracker'!$K$2:$K$5000,'2023-2024 Tracker'!$A$2:$A$5000,"&gt;="&amp;L3,'2023-2024 Tracker'!$A$2:$A$5000,"&lt;="&amp;EOMONTH(L3,0),'2023-2024 Tracker'!$B$2:$B$5000,"Expense",'2023-2024 Tracker'!$C$2:$C$5000,"Fixed costs",'2023-2024 Tracker'!$D$2:$D$5000,"Obsidian Publish")</f>
        <v>0</v>
      </c>
      <c r="M50" s="15">
        <f>SUMIFS('2023-2024 Tracker'!$K$2:$K$5000,'2023-2024 Tracker'!$A$2:$A$5000,"&gt;="&amp;M3,'2023-2024 Tracker'!$A$2:$A$5000,"&lt;="&amp;EOMONTH(M3,0),'2023-2024 Tracker'!$B$2:$B$5000,"Expense",'2023-2024 Tracker'!$C$2:$C$5000,"Fixed costs",'2023-2024 Tracker'!$D$2:$D$5000,"Obsidian Publish")</f>
        <v>0</v>
      </c>
      <c r="N50" s="15">
        <f>SUMIFS('2023-2024 Tracker'!$K$2:$K$5000,'2023-2024 Tracker'!$A$2:$A$5000,"&gt;="&amp;N3,'2023-2024 Tracker'!$A$2:$A$5000,"&lt;="&amp;EOMONTH(N3,0),'2023-2024 Tracker'!$B$2:$B$5000,"Expense",'2023-2024 Tracker'!$C$2:$C$5000,"Fixed costs",'2023-2024 Tracker'!$D$2:$D$5000,"Obsidian Publish")</f>
        <v>0</v>
      </c>
      <c r="O50" s="16">
        <f t="shared" si="16"/>
        <v>0</v>
      </c>
    </row>
    <row r="51" ht="15.75" customHeight="1">
      <c r="A51" s="14" t="s">
        <v>82</v>
      </c>
      <c r="B51" s="8"/>
      <c r="C51" s="15">
        <f>SUMIFS('2023-2024 Tracker'!$K$2:$K$5000,'2023-2024 Tracker'!$A$2:$A$5000,"&gt;="&amp;C3,'2023-2024 Tracker'!$A$2:$A$5000,"&lt;="&amp;EOMONTH(C3,0),'2023-2024 Tracker'!$B$2:$B$5000,"Expense",'2023-2024 Tracker'!$C$2:$C$5000,"Fixed costs",'2023-2024 Tracker'!$D$2:$D$5000,"refibcn.cat domain")</f>
        <v>0</v>
      </c>
      <c r="D51" s="15">
        <f>SUMIFS('2023-2024 Tracker'!$K$2:$K$5000,'2023-2024 Tracker'!$A$2:$A$5000,"&gt;="&amp;D3,'2023-2024 Tracker'!$A$2:$A$5000,"&lt;="&amp;EOMONTH(D3,0),'2023-2024 Tracker'!$B$2:$B$5000,"Expense",'2023-2024 Tracker'!$C$2:$C$5000,"Fixed costs",'2023-2024 Tracker'!$D$2:$D$5000,"refibcn.cat domain")</f>
        <v>0</v>
      </c>
      <c r="E51" s="15">
        <f>SUMIFS('2023-2024 Tracker'!$K$2:$K$5000,'2023-2024 Tracker'!$A$2:$A$5000,"&gt;="&amp;E3,'2023-2024 Tracker'!$A$2:$A$5000,"&lt;="&amp;EOMONTH(E3,0),'2023-2024 Tracker'!$B$2:$B$5000,"Expense",'2023-2024 Tracker'!$C$2:$C$5000,"Fixed costs",'2023-2024 Tracker'!$D$2:$D$5000,"refibcn.cat domain")</f>
        <v>0</v>
      </c>
      <c r="F51" s="15">
        <f>SUMIFS('2023-2024 Tracker'!$K$2:$K$5000,'2023-2024 Tracker'!$A$2:$A$5000,"&gt;="&amp;F3,'2023-2024 Tracker'!$A$2:$A$5000,"&lt;="&amp;EOMONTH(F3,0),'2023-2024 Tracker'!$B$2:$B$5000,"Expense",'2023-2024 Tracker'!$C$2:$C$5000,"Fixed costs",'2023-2024 Tracker'!$D$2:$D$5000,"refibcn.cat domain")</f>
        <v>0</v>
      </c>
      <c r="G51" s="15">
        <f>SUMIFS('2023-2024 Tracker'!$K$2:$K$5000,'2023-2024 Tracker'!$A$2:$A$5000,"&gt;="&amp;G3,'2023-2024 Tracker'!$A$2:$A$5000,"&lt;="&amp;EOMONTH(G3,0),'2023-2024 Tracker'!$B$2:$B$5000,"Expense",'2023-2024 Tracker'!$C$2:$C$5000,"Fixed costs",'2023-2024 Tracker'!$D$2:$D$5000,"refibcn.cat domain")</f>
        <v>0</v>
      </c>
      <c r="H51" s="15">
        <f>SUMIFS('2023-2024 Tracker'!$K$2:$K$5000,'2023-2024 Tracker'!$A$2:$A$5000,"&gt;="&amp;H3,'2023-2024 Tracker'!$A$2:$A$5000,"&lt;="&amp;EOMONTH(H3,0),'2023-2024 Tracker'!$B$2:$B$5000,"Expense",'2023-2024 Tracker'!$C$2:$C$5000,"Fixed costs",'2023-2024 Tracker'!$D$2:$D$5000,"refibcn.cat domain")</f>
        <v>0</v>
      </c>
      <c r="I51" s="15">
        <f>SUMIFS('2023-2024 Tracker'!$K$2:$K$5000,'2023-2024 Tracker'!$A$2:$A$5000,"&gt;="&amp;I3,'2023-2024 Tracker'!$A$2:$A$5000,"&lt;="&amp;EOMONTH(I3,0),'2023-2024 Tracker'!$B$2:$B$5000,"Expense",'2023-2024 Tracker'!$C$2:$C$5000,"Fixed costs",'2023-2024 Tracker'!$D$2:$D$5000,"refibcn.cat domain")</f>
        <v>0</v>
      </c>
      <c r="J51" s="15">
        <f>SUMIFS('2023-2024 Tracker'!$K$2:$K$5000,'2023-2024 Tracker'!$A$2:$A$5000,"&gt;="&amp;J3,'2023-2024 Tracker'!$A$2:$A$5000,"&lt;="&amp;EOMONTH(J3,0),'2023-2024 Tracker'!$B$2:$B$5000,"Expense",'2023-2024 Tracker'!$C$2:$C$5000,"Fixed costs",'2023-2024 Tracker'!$D$2:$D$5000,"refibcn.cat domain")</f>
        <v>0</v>
      </c>
      <c r="K51" s="15">
        <f>SUMIFS('2023-2024 Tracker'!$K$2:$K$5000,'2023-2024 Tracker'!$A$2:$A$5000,"&gt;="&amp;K3,'2023-2024 Tracker'!$A$2:$A$5000,"&lt;="&amp;EOMONTH(K3,0),'2023-2024 Tracker'!$B$2:$B$5000,"Expense",'2023-2024 Tracker'!$C$2:$C$5000,"Fixed costs",'2023-2024 Tracker'!$D$2:$D$5000,"refibcn.cat domain")</f>
        <v>0</v>
      </c>
      <c r="L51" s="15">
        <f>SUMIFS('2023-2024 Tracker'!$K$2:$K$5000,'2023-2024 Tracker'!$A$2:$A$5000,"&gt;="&amp;L3,'2023-2024 Tracker'!$A$2:$A$5000,"&lt;="&amp;EOMONTH(L3,0),'2023-2024 Tracker'!$B$2:$B$5000,"Expense",'2023-2024 Tracker'!$C$2:$C$5000,"Fixed costs",'2023-2024 Tracker'!$D$2:$D$5000,"refibcn.cat domain")</f>
        <v>0</v>
      </c>
      <c r="M51" s="15">
        <f>SUMIFS('2023-2024 Tracker'!$K$2:$K$5000,'2023-2024 Tracker'!$A$2:$A$5000,"&gt;="&amp;M3,'2023-2024 Tracker'!$A$2:$A$5000,"&lt;="&amp;EOMONTH(M3,0),'2023-2024 Tracker'!$B$2:$B$5000,"Expense",'2023-2024 Tracker'!$C$2:$C$5000,"Fixed costs",'2023-2024 Tracker'!$D$2:$D$5000,"refibcn.cat domain")</f>
        <v>0</v>
      </c>
      <c r="N51" s="15">
        <f>SUMIFS('2023-2024 Tracker'!$K$2:$K$5000,'2023-2024 Tracker'!$A$2:$A$5000,"&gt;="&amp;N3,'2023-2024 Tracker'!$A$2:$A$5000,"&lt;="&amp;EOMONTH(N3,0),'2023-2024 Tracker'!$B$2:$B$5000,"Expense",'2023-2024 Tracker'!$C$2:$C$5000,"Fixed costs",'2023-2024 Tracker'!$D$2:$D$5000,"refibcn.cat domain")</f>
        <v>0</v>
      </c>
      <c r="O51" s="16">
        <f t="shared" si="16"/>
        <v>0</v>
      </c>
    </row>
    <row r="52" ht="15.75" customHeight="1">
      <c r="A52" s="14" t="s">
        <v>83</v>
      </c>
      <c r="B52" s="8"/>
      <c r="C52" s="15">
        <f>SUMIFS('2023-2024 Tracker'!$K$2:$K$5000,'2023-2024 Tracker'!$A$2:$A$5000,"&gt;="&amp;C3,'2023-2024 Tracker'!$A$2:$A$5000,"&lt;="&amp;EOMONTH(C3,0),'2023-2024 Tracker'!$B$2:$B$5000,"Expense",'2023-2024 Tracker'!$C$2:$C$5000,"Fixed costs",'2023-2024 Tracker'!$D$2:$D$5000,"Notion")</f>
        <v>0</v>
      </c>
      <c r="D52" s="15">
        <f>SUMIFS('2023-2024 Tracker'!$K$2:$K$5000,'2023-2024 Tracker'!$A$2:$A$5000,"&gt;="&amp;D3,'2023-2024 Tracker'!$A$2:$A$5000,"&lt;="&amp;EOMONTH(D3,0),'2023-2024 Tracker'!$B$2:$B$5000,"Expense",'2023-2024 Tracker'!$C$2:$C$5000,"Fixed costs",'2023-2024 Tracker'!$D$2:$D$5000,"Notion")</f>
        <v>0</v>
      </c>
      <c r="E52" s="15">
        <f>SUMIFS('2023-2024 Tracker'!$K$2:$K$5000,'2023-2024 Tracker'!$A$2:$A$5000,"&gt;="&amp;E3,'2023-2024 Tracker'!$A$2:$A$5000,"&lt;="&amp;EOMONTH(E3,0),'2023-2024 Tracker'!$B$2:$B$5000,"Expense",'2023-2024 Tracker'!$C$2:$C$5000,"Fixed costs",'2023-2024 Tracker'!$D$2:$D$5000,"Notion")</f>
        <v>0</v>
      </c>
      <c r="F52" s="15">
        <f>SUMIFS('2023-2024 Tracker'!$K$2:$K$5000,'2023-2024 Tracker'!$A$2:$A$5000,"&gt;="&amp;F3,'2023-2024 Tracker'!$A$2:$A$5000,"&lt;="&amp;EOMONTH(F3,0),'2023-2024 Tracker'!$B$2:$B$5000,"Expense",'2023-2024 Tracker'!$C$2:$C$5000,"Fixed costs",'2023-2024 Tracker'!$D$2:$D$5000,"Notion")</f>
        <v>0</v>
      </c>
      <c r="G52" s="15">
        <f>SUMIFS('2023-2024 Tracker'!$K$2:$K$5000,'2023-2024 Tracker'!$A$2:$A$5000,"&gt;="&amp;G3,'2023-2024 Tracker'!$A$2:$A$5000,"&lt;="&amp;EOMONTH(G3,0),'2023-2024 Tracker'!$B$2:$B$5000,"Expense",'2023-2024 Tracker'!$C$2:$C$5000,"Fixed costs",'2023-2024 Tracker'!$D$2:$D$5000,"Notion")</f>
        <v>0</v>
      </c>
      <c r="H52" s="15">
        <f>SUMIFS('2023-2024 Tracker'!$K$2:$K$5000,'2023-2024 Tracker'!$A$2:$A$5000,"&gt;="&amp;H3,'2023-2024 Tracker'!$A$2:$A$5000,"&lt;="&amp;EOMONTH(H3,0),'2023-2024 Tracker'!$B$2:$B$5000,"Expense",'2023-2024 Tracker'!$C$2:$C$5000,"Fixed costs",'2023-2024 Tracker'!$D$2:$D$5000,"Notion")</f>
        <v>0</v>
      </c>
      <c r="I52" s="15">
        <f>SUMIFS('2023-2024 Tracker'!$K$2:$K$5000,'2023-2024 Tracker'!$A$2:$A$5000,"&gt;="&amp;I3,'2023-2024 Tracker'!$A$2:$A$5000,"&lt;="&amp;EOMONTH(I3,0),'2023-2024 Tracker'!$B$2:$B$5000,"Expense",'2023-2024 Tracker'!$C$2:$C$5000,"Fixed costs",'2023-2024 Tracker'!$D$2:$D$5000,"Notion")</f>
        <v>0</v>
      </c>
      <c r="J52" s="15">
        <f>SUMIFS('2023-2024 Tracker'!$K$2:$K$5000,'2023-2024 Tracker'!$A$2:$A$5000,"&gt;="&amp;J3,'2023-2024 Tracker'!$A$2:$A$5000,"&lt;="&amp;EOMONTH(J3,0),'2023-2024 Tracker'!$B$2:$B$5000,"Expense",'2023-2024 Tracker'!$C$2:$C$5000,"Fixed costs",'2023-2024 Tracker'!$D$2:$D$5000,"Notion")</f>
        <v>0</v>
      </c>
      <c r="K52" s="15">
        <f>SUMIFS('2023-2024 Tracker'!$K$2:$K$5000,'2023-2024 Tracker'!$A$2:$A$5000,"&gt;="&amp;K3,'2023-2024 Tracker'!$A$2:$A$5000,"&lt;="&amp;EOMONTH(K3,0),'2023-2024 Tracker'!$B$2:$B$5000,"Expense",'2023-2024 Tracker'!$C$2:$C$5000,"Fixed costs",'2023-2024 Tracker'!$D$2:$D$5000,"Notion")</f>
        <v>0</v>
      </c>
      <c r="L52" s="15">
        <f>SUMIFS('2023-2024 Tracker'!$K$2:$K$5000,'2023-2024 Tracker'!$A$2:$A$5000,"&gt;="&amp;L3,'2023-2024 Tracker'!$A$2:$A$5000,"&lt;="&amp;EOMONTH(L3,0),'2023-2024 Tracker'!$B$2:$B$5000,"Expense",'2023-2024 Tracker'!$C$2:$C$5000,"Fixed costs",'2023-2024 Tracker'!$D$2:$D$5000,"Notion")</f>
        <v>0</v>
      </c>
      <c r="M52" s="15">
        <f>SUMIFS('2023-2024 Tracker'!$K$2:$K$5000,'2023-2024 Tracker'!$A$2:$A$5000,"&gt;="&amp;M3,'2023-2024 Tracker'!$A$2:$A$5000,"&lt;="&amp;EOMONTH(M3,0),'2023-2024 Tracker'!$B$2:$B$5000,"Expense",'2023-2024 Tracker'!$C$2:$C$5000,"Fixed costs",'2023-2024 Tracker'!$D$2:$D$5000,"Notion")</f>
        <v>0</v>
      </c>
      <c r="N52" s="15">
        <f>SUMIFS('2023-2024 Tracker'!$K$2:$K$5000,'2023-2024 Tracker'!$A$2:$A$5000,"&gt;="&amp;N3,'2023-2024 Tracker'!$A$2:$A$5000,"&lt;="&amp;EOMONTH(N3,0),'2023-2024 Tracker'!$B$2:$B$5000,"Expense",'2023-2024 Tracker'!$C$2:$C$5000,"Fixed costs",'2023-2024 Tracker'!$D$2:$D$5000,"Notion")</f>
        <v>0</v>
      </c>
      <c r="O52" s="16">
        <f t="shared" si="16"/>
        <v>0</v>
      </c>
    </row>
    <row r="53" ht="15.75" customHeight="1">
      <c r="A53" s="14" t="s">
        <v>84</v>
      </c>
      <c r="B53" s="8"/>
      <c r="C53" s="15">
        <f>SUMIFS('2023-2024 Tracker'!$K$2:$K$5000,'2023-2024 Tracker'!$A$2:$A$5000,"&gt;="&amp;C3,'2023-2024 Tracker'!$A$2:$A$5000,"&lt;="&amp;EOMONTH(C3,0),'2023-2024 Tracker'!$B$2:$B$5000,"Expense",'2023-2024 Tracker'!$C$2:$C$5000,"Fixed costs",'2023-2024 Tracker'!$D$2:$D$5000,"Cursor Team")</f>
        <v>0</v>
      </c>
      <c r="D53" s="15">
        <f>SUMIFS('2023-2024 Tracker'!$K$2:$K$5000,'2023-2024 Tracker'!$A$2:$A$5000,"&gt;="&amp;D3,'2023-2024 Tracker'!$A$2:$A$5000,"&lt;="&amp;EOMONTH(D3,0),'2023-2024 Tracker'!$B$2:$B$5000,"Expense",'2023-2024 Tracker'!$C$2:$C$5000,"Fixed costs",'2023-2024 Tracker'!$D$2:$D$5000,"Cursor Team")</f>
        <v>0</v>
      </c>
      <c r="E53" s="15">
        <f>SUMIFS('2023-2024 Tracker'!$K$2:$K$5000,'2023-2024 Tracker'!$A$2:$A$5000,"&gt;="&amp;E3,'2023-2024 Tracker'!$A$2:$A$5000,"&lt;="&amp;EOMONTH(E3,0),'2023-2024 Tracker'!$B$2:$B$5000,"Expense",'2023-2024 Tracker'!$C$2:$C$5000,"Fixed costs",'2023-2024 Tracker'!$D$2:$D$5000,"Cursor Team")</f>
        <v>0</v>
      </c>
      <c r="F53" s="15">
        <f>SUMIFS('2023-2024 Tracker'!$K$2:$K$5000,'2023-2024 Tracker'!$A$2:$A$5000,"&gt;="&amp;F3,'2023-2024 Tracker'!$A$2:$A$5000,"&lt;="&amp;EOMONTH(F3,0),'2023-2024 Tracker'!$B$2:$B$5000,"Expense",'2023-2024 Tracker'!$C$2:$C$5000,"Fixed costs",'2023-2024 Tracker'!$D$2:$D$5000,"Cursor Team")</f>
        <v>0</v>
      </c>
      <c r="G53" s="15">
        <f>SUMIFS('2023-2024 Tracker'!$K$2:$K$5000,'2023-2024 Tracker'!$A$2:$A$5000,"&gt;="&amp;G3,'2023-2024 Tracker'!$A$2:$A$5000,"&lt;="&amp;EOMONTH(G3,0),'2023-2024 Tracker'!$B$2:$B$5000,"Expense",'2023-2024 Tracker'!$C$2:$C$5000,"Fixed costs",'2023-2024 Tracker'!$D$2:$D$5000,"Cursor Team")</f>
        <v>0</v>
      </c>
      <c r="H53" s="15">
        <f>SUMIFS('2023-2024 Tracker'!$K$2:$K$5000,'2023-2024 Tracker'!$A$2:$A$5000,"&gt;="&amp;H3,'2023-2024 Tracker'!$A$2:$A$5000,"&lt;="&amp;EOMONTH(H3,0),'2023-2024 Tracker'!$B$2:$B$5000,"Expense",'2023-2024 Tracker'!$C$2:$C$5000,"Fixed costs",'2023-2024 Tracker'!$D$2:$D$5000,"Cursor Team")</f>
        <v>0</v>
      </c>
      <c r="I53" s="15">
        <f>SUMIFS('2023-2024 Tracker'!$K$2:$K$5000,'2023-2024 Tracker'!$A$2:$A$5000,"&gt;="&amp;I3,'2023-2024 Tracker'!$A$2:$A$5000,"&lt;="&amp;EOMONTH(I3,0),'2023-2024 Tracker'!$B$2:$B$5000,"Expense",'2023-2024 Tracker'!$C$2:$C$5000,"Fixed costs",'2023-2024 Tracker'!$D$2:$D$5000,"Cursor Team")</f>
        <v>0</v>
      </c>
      <c r="J53" s="15">
        <f>SUMIFS('2023-2024 Tracker'!$K$2:$K$5000,'2023-2024 Tracker'!$A$2:$A$5000,"&gt;="&amp;J3,'2023-2024 Tracker'!$A$2:$A$5000,"&lt;="&amp;EOMONTH(J3,0),'2023-2024 Tracker'!$B$2:$B$5000,"Expense",'2023-2024 Tracker'!$C$2:$C$5000,"Fixed costs",'2023-2024 Tracker'!$D$2:$D$5000,"Cursor Team")</f>
        <v>0</v>
      </c>
      <c r="K53" s="15">
        <f>SUMIFS('2023-2024 Tracker'!$K$2:$K$5000,'2023-2024 Tracker'!$A$2:$A$5000,"&gt;="&amp;K3,'2023-2024 Tracker'!$A$2:$A$5000,"&lt;="&amp;EOMONTH(K3,0),'2023-2024 Tracker'!$B$2:$B$5000,"Expense",'2023-2024 Tracker'!$C$2:$C$5000,"Fixed costs",'2023-2024 Tracker'!$D$2:$D$5000,"Cursor Team")</f>
        <v>0</v>
      </c>
      <c r="L53" s="15">
        <f>SUMIFS('2023-2024 Tracker'!$K$2:$K$5000,'2023-2024 Tracker'!$A$2:$A$5000,"&gt;="&amp;L3,'2023-2024 Tracker'!$A$2:$A$5000,"&lt;="&amp;EOMONTH(L3,0),'2023-2024 Tracker'!$B$2:$B$5000,"Expense",'2023-2024 Tracker'!$C$2:$C$5000,"Fixed costs",'2023-2024 Tracker'!$D$2:$D$5000,"Cursor Team")</f>
        <v>0</v>
      </c>
      <c r="M53" s="15">
        <f>SUMIFS('2023-2024 Tracker'!$K$2:$K$5000,'2023-2024 Tracker'!$A$2:$A$5000,"&gt;="&amp;M3,'2023-2024 Tracker'!$A$2:$A$5000,"&lt;="&amp;EOMONTH(M3,0),'2023-2024 Tracker'!$B$2:$B$5000,"Expense",'2023-2024 Tracker'!$C$2:$C$5000,"Fixed costs",'2023-2024 Tracker'!$D$2:$D$5000,"Cursor Team")</f>
        <v>0</v>
      </c>
      <c r="N53" s="15">
        <f>SUMIFS('2023-2024 Tracker'!$K$2:$K$5000,'2023-2024 Tracker'!$A$2:$A$5000,"&gt;="&amp;N3,'2023-2024 Tracker'!$A$2:$A$5000,"&lt;="&amp;EOMONTH(N3,0),'2023-2024 Tracker'!$B$2:$B$5000,"Expense",'2023-2024 Tracker'!$C$2:$C$5000,"Fixed costs",'2023-2024 Tracker'!$D$2:$D$5000,"Cursor Team")</f>
        <v>0</v>
      </c>
      <c r="O53" s="16">
        <f t="shared" si="16"/>
        <v>0</v>
      </c>
    </row>
    <row r="54" ht="15.75" customHeight="1">
      <c r="A54" s="14" t="s">
        <v>85</v>
      </c>
      <c r="B54" s="8"/>
      <c r="C54" s="15">
        <f t="shared" ref="C54:N54" si="17">C12-SUM(C13:C16)</f>
        <v>0</v>
      </c>
      <c r="D54" s="15">
        <f t="shared" si="17"/>
        <v>0</v>
      </c>
      <c r="E54" s="15">
        <f t="shared" si="17"/>
        <v>0</v>
      </c>
      <c r="F54" s="15">
        <f t="shared" si="17"/>
        <v>0</v>
      </c>
      <c r="G54" s="15">
        <f t="shared" si="17"/>
        <v>0</v>
      </c>
      <c r="H54" s="15">
        <f t="shared" si="17"/>
        <v>0</v>
      </c>
      <c r="I54" s="15">
        <f t="shared" si="17"/>
        <v>0</v>
      </c>
      <c r="J54" s="15">
        <f t="shared" si="17"/>
        <v>0</v>
      </c>
      <c r="K54" s="15">
        <f t="shared" si="17"/>
        <v>0</v>
      </c>
      <c r="L54" s="15">
        <f t="shared" si="17"/>
        <v>0</v>
      </c>
      <c r="M54" s="15">
        <f t="shared" si="17"/>
        <v>0</v>
      </c>
      <c r="N54" s="15">
        <f t="shared" si="17"/>
        <v>0</v>
      </c>
      <c r="O54" s="15">
        <f t="shared" si="16"/>
        <v>0</v>
      </c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17" t="s">
        <v>86</v>
      </c>
      <c r="B56" s="8"/>
      <c r="C56" s="15">
        <f t="shared" ref="C56:N56" si="18">SUM(C20:C27)</f>
        <v>0</v>
      </c>
      <c r="D56" s="15">
        <f t="shared" si="18"/>
        <v>0</v>
      </c>
      <c r="E56" s="15">
        <f t="shared" si="18"/>
        <v>0</v>
      </c>
      <c r="F56" s="15">
        <f t="shared" si="18"/>
        <v>0</v>
      </c>
      <c r="G56" s="15">
        <f t="shared" si="18"/>
        <v>0</v>
      </c>
      <c r="H56" s="15">
        <f t="shared" si="18"/>
        <v>0</v>
      </c>
      <c r="I56" s="15">
        <f t="shared" si="18"/>
        <v>0</v>
      </c>
      <c r="J56" s="15">
        <f t="shared" si="18"/>
        <v>0</v>
      </c>
      <c r="K56" s="15">
        <f t="shared" si="18"/>
        <v>0</v>
      </c>
      <c r="L56" s="15">
        <f t="shared" si="18"/>
        <v>0</v>
      </c>
      <c r="M56" s="15">
        <f t="shared" si="18"/>
        <v>0</v>
      </c>
      <c r="N56" s="15">
        <f t="shared" si="18"/>
        <v>0</v>
      </c>
      <c r="O56" s="18">
        <f t="shared" ref="O56:O64" si="19">SUM(C19:N19)</f>
        <v>0</v>
      </c>
    </row>
    <row r="57" ht="15.75" customHeight="1">
      <c r="A57" s="14" t="s">
        <v>87</v>
      </c>
      <c r="B57" s="8"/>
      <c r="C57" s="15">
        <f>SUMIFS('2023-2024 Tracker'!$K$2:$K$5000,'2023-2024 Tracker'!$A$2:$A$5000,"&gt;="&amp;C3,'2023-2024 Tracker'!$A$2:$A$5000,"&lt;="&amp;EOMONTH(C3,0),'2023-2024 Tracker'!$B$2:$B$5000,"Expense",'2023-2024 Tracker'!$C$2:$C$5000,"Project-specific expenses")</f>
        <v>0</v>
      </c>
      <c r="D57" s="15">
        <f>SUMIFS('2023-2024 Tracker'!$K$2:$K$5000,'2023-2024 Tracker'!$A$2:$A$5000,"&gt;="&amp;D3,'2023-2024 Tracker'!$A$2:$A$5000,"&lt;="&amp;EOMONTH(D3,0),'2023-2024 Tracker'!$B$2:$B$5000,"Expense",'2023-2024 Tracker'!$C$2:$C$5000,"Project-specific expenses")</f>
        <v>0</v>
      </c>
      <c r="E57" s="15">
        <f>SUMIFS('2023-2024 Tracker'!$K$2:$K$5000,'2023-2024 Tracker'!$A$2:$A$5000,"&gt;="&amp;E3,'2023-2024 Tracker'!$A$2:$A$5000,"&lt;="&amp;EOMONTH(E3,0),'2023-2024 Tracker'!$B$2:$B$5000,"Expense",'2023-2024 Tracker'!$C$2:$C$5000,"Project-specific expenses")</f>
        <v>0</v>
      </c>
      <c r="F57" s="15">
        <f>SUMIFS('2023-2024 Tracker'!$K$2:$K$5000,'2023-2024 Tracker'!$A$2:$A$5000,"&gt;="&amp;F3,'2023-2024 Tracker'!$A$2:$A$5000,"&lt;="&amp;EOMONTH(F3,0),'2023-2024 Tracker'!$B$2:$B$5000,"Expense",'2023-2024 Tracker'!$C$2:$C$5000,"Project-specific expenses")</f>
        <v>0</v>
      </c>
      <c r="G57" s="15">
        <f>SUMIFS('2023-2024 Tracker'!$K$2:$K$5000,'2023-2024 Tracker'!$A$2:$A$5000,"&gt;="&amp;G3,'2023-2024 Tracker'!$A$2:$A$5000,"&lt;="&amp;EOMONTH(G3,0),'2023-2024 Tracker'!$B$2:$B$5000,"Expense",'2023-2024 Tracker'!$C$2:$C$5000,"Project-specific expenses")</f>
        <v>0</v>
      </c>
      <c r="H57" s="15">
        <f>SUMIFS('2023-2024 Tracker'!$K$2:$K$5000,'2023-2024 Tracker'!$A$2:$A$5000,"&gt;="&amp;H3,'2023-2024 Tracker'!$A$2:$A$5000,"&lt;="&amp;EOMONTH(H3,0),'2023-2024 Tracker'!$B$2:$B$5000,"Expense",'2023-2024 Tracker'!$C$2:$C$5000,"Project-specific expenses")</f>
        <v>0</v>
      </c>
      <c r="I57" s="15">
        <f>SUMIFS('2023-2024 Tracker'!$K$2:$K$5000,'2023-2024 Tracker'!$A$2:$A$5000,"&gt;="&amp;I3,'2023-2024 Tracker'!$A$2:$A$5000,"&lt;="&amp;EOMONTH(I3,0),'2023-2024 Tracker'!$B$2:$B$5000,"Expense",'2023-2024 Tracker'!$C$2:$C$5000,"Project-specific expenses")</f>
        <v>0</v>
      </c>
      <c r="J57" s="15">
        <f>SUMIFS('2023-2024 Tracker'!$K$2:$K$5000,'2023-2024 Tracker'!$A$2:$A$5000,"&gt;="&amp;J3,'2023-2024 Tracker'!$A$2:$A$5000,"&lt;="&amp;EOMONTH(J3,0),'2023-2024 Tracker'!$B$2:$B$5000,"Expense",'2023-2024 Tracker'!$C$2:$C$5000,"Project-specific expenses")</f>
        <v>0</v>
      </c>
      <c r="K57" s="15">
        <f>SUMIFS('2023-2024 Tracker'!$K$2:$K$5000,'2023-2024 Tracker'!$A$2:$A$5000,"&gt;="&amp;K3,'2023-2024 Tracker'!$A$2:$A$5000,"&lt;="&amp;EOMONTH(K3,0),'2023-2024 Tracker'!$B$2:$B$5000,"Expense",'2023-2024 Tracker'!$C$2:$C$5000,"Project-specific expenses")</f>
        <v>0</v>
      </c>
      <c r="L57" s="15">
        <f>SUMIFS('2023-2024 Tracker'!$K$2:$K$5000,'2023-2024 Tracker'!$A$2:$A$5000,"&gt;="&amp;L3,'2023-2024 Tracker'!$A$2:$A$5000,"&lt;="&amp;EOMONTH(L3,0),'2023-2024 Tracker'!$B$2:$B$5000,"Expense",'2023-2024 Tracker'!$C$2:$C$5000,"Project-specific expenses")</f>
        <v>0</v>
      </c>
      <c r="M57" s="15">
        <f>SUMIFS('2023-2024 Tracker'!$K$2:$K$5000,'2023-2024 Tracker'!$A$2:$A$5000,"&gt;="&amp;M3,'2023-2024 Tracker'!$A$2:$A$5000,"&lt;="&amp;EOMONTH(M3,0),'2023-2024 Tracker'!$B$2:$B$5000,"Expense",'2023-2024 Tracker'!$C$2:$C$5000,"Project-specific expenses")</f>
        <v>0</v>
      </c>
      <c r="N57" s="15">
        <f>SUMIFS('2023-2024 Tracker'!$K$2:$K$5000,'2023-2024 Tracker'!$A$2:$A$5000,"&gt;="&amp;N3,'2023-2024 Tracker'!$A$2:$A$5000,"&lt;="&amp;EOMONTH(N3,0),'2023-2024 Tracker'!$B$2:$B$5000,"Expense",'2023-2024 Tracker'!$C$2:$C$5000,"Project-specific expenses")</f>
        <v>0</v>
      </c>
      <c r="O57" s="16">
        <f t="shared" si="19"/>
        <v>0</v>
      </c>
    </row>
    <row r="58" ht="15.75" customHeight="1">
      <c r="A58" s="14" t="s">
        <v>88</v>
      </c>
      <c r="B58" s="8"/>
      <c r="C58" s="15">
        <f>SUMIFS('2023-2024 Tracker'!$K$2:$K$5000,'2023-2024 Tracker'!$A$2:$A$5000,"&gt;="&amp;C3,'2023-2024 Tracker'!$A$2:$A$5000,"&lt;="&amp;EOMONTH(C3,0),'2023-2024 Tracker'!$B$2:$B$5000,"Expense",'2023-2024 Tracker'!$C$2:$C$5000,"Events &amp; workshops")</f>
        <v>0</v>
      </c>
      <c r="D58" s="15">
        <f>SUMIFS('2023-2024 Tracker'!$K$2:$K$5000,'2023-2024 Tracker'!$A$2:$A$5000,"&gt;="&amp;D3,'2023-2024 Tracker'!$A$2:$A$5000,"&lt;="&amp;EOMONTH(D3,0),'2023-2024 Tracker'!$B$2:$B$5000,"Expense",'2023-2024 Tracker'!$C$2:$C$5000,"Events &amp; workshops")</f>
        <v>0</v>
      </c>
      <c r="E58" s="15">
        <f>SUMIFS('2023-2024 Tracker'!$K$2:$K$5000,'2023-2024 Tracker'!$A$2:$A$5000,"&gt;="&amp;E3,'2023-2024 Tracker'!$A$2:$A$5000,"&lt;="&amp;EOMONTH(E3,0),'2023-2024 Tracker'!$B$2:$B$5000,"Expense",'2023-2024 Tracker'!$C$2:$C$5000,"Events &amp; workshops")</f>
        <v>0</v>
      </c>
      <c r="F58" s="15">
        <f>SUMIFS('2023-2024 Tracker'!$K$2:$K$5000,'2023-2024 Tracker'!$A$2:$A$5000,"&gt;="&amp;F3,'2023-2024 Tracker'!$A$2:$A$5000,"&lt;="&amp;EOMONTH(F3,0),'2023-2024 Tracker'!$B$2:$B$5000,"Expense",'2023-2024 Tracker'!$C$2:$C$5000,"Events &amp; workshops")</f>
        <v>0</v>
      </c>
      <c r="G58" s="15">
        <f>SUMIFS('2023-2024 Tracker'!$K$2:$K$5000,'2023-2024 Tracker'!$A$2:$A$5000,"&gt;="&amp;G3,'2023-2024 Tracker'!$A$2:$A$5000,"&lt;="&amp;EOMONTH(G3,0),'2023-2024 Tracker'!$B$2:$B$5000,"Expense",'2023-2024 Tracker'!$C$2:$C$5000,"Events &amp; workshops")</f>
        <v>0</v>
      </c>
      <c r="H58" s="15">
        <f>SUMIFS('2023-2024 Tracker'!$K$2:$K$5000,'2023-2024 Tracker'!$A$2:$A$5000,"&gt;="&amp;H3,'2023-2024 Tracker'!$A$2:$A$5000,"&lt;="&amp;EOMONTH(H3,0),'2023-2024 Tracker'!$B$2:$B$5000,"Expense",'2023-2024 Tracker'!$C$2:$C$5000,"Events &amp; workshops")</f>
        <v>0</v>
      </c>
      <c r="I58" s="15">
        <f>SUMIFS('2023-2024 Tracker'!$K$2:$K$5000,'2023-2024 Tracker'!$A$2:$A$5000,"&gt;="&amp;I3,'2023-2024 Tracker'!$A$2:$A$5000,"&lt;="&amp;EOMONTH(I3,0),'2023-2024 Tracker'!$B$2:$B$5000,"Expense",'2023-2024 Tracker'!$C$2:$C$5000,"Events &amp; workshops")</f>
        <v>0</v>
      </c>
      <c r="J58" s="15">
        <f>SUMIFS('2023-2024 Tracker'!$K$2:$K$5000,'2023-2024 Tracker'!$A$2:$A$5000,"&gt;="&amp;J3,'2023-2024 Tracker'!$A$2:$A$5000,"&lt;="&amp;EOMONTH(J3,0),'2023-2024 Tracker'!$B$2:$B$5000,"Expense",'2023-2024 Tracker'!$C$2:$C$5000,"Events &amp; workshops")</f>
        <v>0</v>
      </c>
      <c r="K58" s="15">
        <f>SUMIFS('2023-2024 Tracker'!$K$2:$K$5000,'2023-2024 Tracker'!$A$2:$A$5000,"&gt;="&amp;K3,'2023-2024 Tracker'!$A$2:$A$5000,"&lt;="&amp;EOMONTH(K3,0),'2023-2024 Tracker'!$B$2:$B$5000,"Expense",'2023-2024 Tracker'!$C$2:$C$5000,"Events &amp; workshops")</f>
        <v>0</v>
      </c>
      <c r="L58" s="15">
        <f>SUMIFS('2023-2024 Tracker'!$K$2:$K$5000,'2023-2024 Tracker'!$A$2:$A$5000,"&gt;="&amp;L3,'2023-2024 Tracker'!$A$2:$A$5000,"&lt;="&amp;EOMONTH(L3,0),'2023-2024 Tracker'!$B$2:$B$5000,"Expense",'2023-2024 Tracker'!$C$2:$C$5000,"Events &amp; workshops")</f>
        <v>0</v>
      </c>
      <c r="M58" s="15">
        <f>SUMIFS('2023-2024 Tracker'!$K$2:$K$5000,'2023-2024 Tracker'!$A$2:$A$5000,"&gt;="&amp;M3,'2023-2024 Tracker'!$A$2:$A$5000,"&lt;="&amp;EOMONTH(M3,0),'2023-2024 Tracker'!$B$2:$B$5000,"Expense",'2023-2024 Tracker'!$C$2:$C$5000,"Events &amp; workshops")</f>
        <v>0</v>
      </c>
      <c r="N58" s="15">
        <f>SUMIFS('2023-2024 Tracker'!$K$2:$K$5000,'2023-2024 Tracker'!$A$2:$A$5000,"&gt;="&amp;N3,'2023-2024 Tracker'!$A$2:$A$5000,"&lt;="&amp;EOMONTH(N3,0),'2023-2024 Tracker'!$B$2:$B$5000,"Expense",'2023-2024 Tracker'!$C$2:$C$5000,"Events &amp; workshops")</f>
        <v>0</v>
      </c>
      <c r="O58" s="16">
        <f t="shared" si="19"/>
        <v>0</v>
      </c>
    </row>
    <row r="59" ht="15.75" customHeight="1">
      <c r="A59" s="14" t="s">
        <v>89</v>
      </c>
      <c r="B59" s="8"/>
      <c r="C59" s="15">
        <f>SUMIFS('2023-2024 Tracker'!$K$2:$K$5000,'2023-2024 Tracker'!$A$2:$A$5000,"&gt;="&amp;C3,'2023-2024 Tracker'!$A$2:$A$5000,"&lt;="&amp;EOMONTH(C3,0),'2023-2024 Tracker'!$B$2:$B$5000,"Expense",'2023-2024 Tracker'!$C$2:$C$5000,"Marketing/Comms")</f>
        <v>0</v>
      </c>
      <c r="D59" s="15">
        <f>SUMIFS('2023-2024 Tracker'!$K$2:$K$5000,'2023-2024 Tracker'!$A$2:$A$5000,"&gt;="&amp;D3,'2023-2024 Tracker'!$A$2:$A$5000,"&lt;="&amp;EOMONTH(D3,0),'2023-2024 Tracker'!$B$2:$B$5000,"Expense",'2023-2024 Tracker'!$C$2:$C$5000,"Marketing/Comms")</f>
        <v>0</v>
      </c>
      <c r="E59" s="15">
        <f>SUMIFS('2023-2024 Tracker'!$K$2:$K$5000,'2023-2024 Tracker'!$A$2:$A$5000,"&gt;="&amp;E3,'2023-2024 Tracker'!$A$2:$A$5000,"&lt;="&amp;EOMONTH(E3,0),'2023-2024 Tracker'!$B$2:$B$5000,"Expense",'2023-2024 Tracker'!$C$2:$C$5000,"Marketing/Comms")</f>
        <v>0</v>
      </c>
      <c r="F59" s="15">
        <f>SUMIFS('2023-2024 Tracker'!$K$2:$K$5000,'2023-2024 Tracker'!$A$2:$A$5000,"&gt;="&amp;F3,'2023-2024 Tracker'!$A$2:$A$5000,"&lt;="&amp;EOMONTH(F3,0),'2023-2024 Tracker'!$B$2:$B$5000,"Expense",'2023-2024 Tracker'!$C$2:$C$5000,"Marketing/Comms")</f>
        <v>0</v>
      </c>
      <c r="G59" s="15">
        <f>SUMIFS('2023-2024 Tracker'!$K$2:$K$5000,'2023-2024 Tracker'!$A$2:$A$5000,"&gt;="&amp;G3,'2023-2024 Tracker'!$A$2:$A$5000,"&lt;="&amp;EOMONTH(G3,0),'2023-2024 Tracker'!$B$2:$B$5000,"Expense",'2023-2024 Tracker'!$C$2:$C$5000,"Marketing/Comms")</f>
        <v>0</v>
      </c>
      <c r="H59" s="15">
        <f>SUMIFS('2023-2024 Tracker'!$K$2:$K$5000,'2023-2024 Tracker'!$A$2:$A$5000,"&gt;="&amp;H3,'2023-2024 Tracker'!$A$2:$A$5000,"&lt;="&amp;EOMONTH(H3,0),'2023-2024 Tracker'!$B$2:$B$5000,"Expense",'2023-2024 Tracker'!$C$2:$C$5000,"Marketing/Comms")</f>
        <v>0</v>
      </c>
      <c r="I59" s="15">
        <f>SUMIFS('2023-2024 Tracker'!$K$2:$K$5000,'2023-2024 Tracker'!$A$2:$A$5000,"&gt;="&amp;I3,'2023-2024 Tracker'!$A$2:$A$5000,"&lt;="&amp;EOMONTH(I3,0),'2023-2024 Tracker'!$B$2:$B$5000,"Expense",'2023-2024 Tracker'!$C$2:$C$5000,"Marketing/Comms")</f>
        <v>0</v>
      </c>
      <c r="J59" s="15">
        <f>SUMIFS('2023-2024 Tracker'!$K$2:$K$5000,'2023-2024 Tracker'!$A$2:$A$5000,"&gt;="&amp;J3,'2023-2024 Tracker'!$A$2:$A$5000,"&lt;="&amp;EOMONTH(J3,0),'2023-2024 Tracker'!$B$2:$B$5000,"Expense",'2023-2024 Tracker'!$C$2:$C$5000,"Marketing/Comms")</f>
        <v>0</v>
      </c>
      <c r="K59" s="15">
        <f>SUMIFS('2023-2024 Tracker'!$K$2:$K$5000,'2023-2024 Tracker'!$A$2:$A$5000,"&gt;="&amp;K3,'2023-2024 Tracker'!$A$2:$A$5000,"&lt;="&amp;EOMONTH(K3,0),'2023-2024 Tracker'!$B$2:$B$5000,"Expense",'2023-2024 Tracker'!$C$2:$C$5000,"Marketing/Comms")</f>
        <v>0</v>
      </c>
      <c r="L59" s="15">
        <f>SUMIFS('2023-2024 Tracker'!$K$2:$K$5000,'2023-2024 Tracker'!$A$2:$A$5000,"&gt;="&amp;L3,'2023-2024 Tracker'!$A$2:$A$5000,"&lt;="&amp;EOMONTH(L3,0),'2023-2024 Tracker'!$B$2:$B$5000,"Expense",'2023-2024 Tracker'!$C$2:$C$5000,"Marketing/Comms")</f>
        <v>0</v>
      </c>
      <c r="M59" s="15">
        <f>SUMIFS('2023-2024 Tracker'!$K$2:$K$5000,'2023-2024 Tracker'!$A$2:$A$5000,"&gt;="&amp;M3,'2023-2024 Tracker'!$A$2:$A$5000,"&lt;="&amp;EOMONTH(M3,0),'2023-2024 Tracker'!$B$2:$B$5000,"Expense",'2023-2024 Tracker'!$C$2:$C$5000,"Marketing/Comms")</f>
        <v>0</v>
      </c>
      <c r="N59" s="15">
        <f>SUMIFS('2023-2024 Tracker'!$K$2:$K$5000,'2023-2024 Tracker'!$A$2:$A$5000,"&gt;="&amp;N3,'2023-2024 Tracker'!$A$2:$A$5000,"&lt;="&amp;EOMONTH(N3,0),'2023-2024 Tracker'!$B$2:$B$5000,"Expense",'2023-2024 Tracker'!$C$2:$C$5000,"Marketing/Comms")</f>
        <v>0</v>
      </c>
      <c r="O59" s="16">
        <f t="shared" si="19"/>
        <v>0</v>
      </c>
    </row>
    <row r="60" ht="15.75" customHeight="1">
      <c r="A60" s="14" t="s">
        <v>90</v>
      </c>
      <c r="B60" s="8"/>
      <c r="C60" s="15">
        <f>SUMIFS('2023-2024 Tracker'!$K$2:$K$5000,'2023-2024 Tracker'!$A$2:$A$5000,"&gt;="&amp;C3,'2023-2024 Tracker'!$A$2:$A$5000,"&lt;="&amp;EOMONTH(C3,0),'2023-2024 Tracker'!$B$2:$B$5000,"Expense",'2023-2024 Tracker'!$C$2:$C$5000,"Professional services")</f>
        <v>0</v>
      </c>
      <c r="D60" s="15">
        <f>SUMIFS('2023-2024 Tracker'!$K$2:$K$5000,'2023-2024 Tracker'!$A$2:$A$5000,"&gt;="&amp;D3,'2023-2024 Tracker'!$A$2:$A$5000,"&lt;="&amp;EOMONTH(D3,0),'2023-2024 Tracker'!$B$2:$B$5000,"Expense",'2023-2024 Tracker'!$C$2:$C$5000,"Professional services")</f>
        <v>0</v>
      </c>
      <c r="E60" s="15">
        <f>SUMIFS('2023-2024 Tracker'!$K$2:$K$5000,'2023-2024 Tracker'!$A$2:$A$5000,"&gt;="&amp;E3,'2023-2024 Tracker'!$A$2:$A$5000,"&lt;="&amp;EOMONTH(E3,0),'2023-2024 Tracker'!$B$2:$B$5000,"Expense",'2023-2024 Tracker'!$C$2:$C$5000,"Professional services")</f>
        <v>0</v>
      </c>
      <c r="F60" s="15">
        <f>SUMIFS('2023-2024 Tracker'!$K$2:$K$5000,'2023-2024 Tracker'!$A$2:$A$5000,"&gt;="&amp;F3,'2023-2024 Tracker'!$A$2:$A$5000,"&lt;="&amp;EOMONTH(F3,0),'2023-2024 Tracker'!$B$2:$B$5000,"Expense",'2023-2024 Tracker'!$C$2:$C$5000,"Professional services")</f>
        <v>0</v>
      </c>
      <c r="G60" s="15">
        <f>SUMIFS('2023-2024 Tracker'!$K$2:$K$5000,'2023-2024 Tracker'!$A$2:$A$5000,"&gt;="&amp;G3,'2023-2024 Tracker'!$A$2:$A$5000,"&lt;="&amp;EOMONTH(G3,0),'2023-2024 Tracker'!$B$2:$B$5000,"Expense",'2023-2024 Tracker'!$C$2:$C$5000,"Professional services")</f>
        <v>0</v>
      </c>
      <c r="H60" s="15">
        <f>SUMIFS('2023-2024 Tracker'!$K$2:$K$5000,'2023-2024 Tracker'!$A$2:$A$5000,"&gt;="&amp;H3,'2023-2024 Tracker'!$A$2:$A$5000,"&lt;="&amp;EOMONTH(H3,0),'2023-2024 Tracker'!$B$2:$B$5000,"Expense",'2023-2024 Tracker'!$C$2:$C$5000,"Professional services")</f>
        <v>0</v>
      </c>
      <c r="I60" s="15">
        <f>SUMIFS('2023-2024 Tracker'!$K$2:$K$5000,'2023-2024 Tracker'!$A$2:$A$5000,"&gt;="&amp;I3,'2023-2024 Tracker'!$A$2:$A$5000,"&lt;="&amp;EOMONTH(I3,0),'2023-2024 Tracker'!$B$2:$B$5000,"Expense",'2023-2024 Tracker'!$C$2:$C$5000,"Professional services")</f>
        <v>0</v>
      </c>
      <c r="J60" s="15">
        <f>SUMIFS('2023-2024 Tracker'!$K$2:$K$5000,'2023-2024 Tracker'!$A$2:$A$5000,"&gt;="&amp;J3,'2023-2024 Tracker'!$A$2:$A$5000,"&lt;="&amp;EOMONTH(J3,0),'2023-2024 Tracker'!$B$2:$B$5000,"Expense",'2023-2024 Tracker'!$C$2:$C$5000,"Professional services")</f>
        <v>0</v>
      </c>
      <c r="K60" s="15">
        <f>SUMIFS('2023-2024 Tracker'!$K$2:$K$5000,'2023-2024 Tracker'!$A$2:$A$5000,"&gt;="&amp;K3,'2023-2024 Tracker'!$A$2:$A$5000,"&lt;="&amp;EOMONTH(K3,0),'2023-2024 Tracker'!$B$2:$B$5000,"Expense",'2023-2024 Tracker'!$C$2:$C$5000,"Professional services")</f>
        <v>0</v>
      </c>
      <c r="L60" s="15">
        <f>SUMIFS('2023-2024 Tracker'!$K$2:$K$5000,'2023-2024 Tracker'!$A$2:$A$5000,"&gt;="&amp;L3,'2023-2024 Tracker'!$A$2:$A$5000,"&lt;="&amp;EOMONTH(L3,0),'2023-2024 Tracker'!$B$2:$B$5000,"Expense",'2023-2024 Tracker'!$C$2:$C$5000,"Professional services")</f>
        <v>0</v>
      </c>
      <c r="M60" s="15">
        <f>SUMIFS('2023-2024 Tracker'!$K$2:$K$5000,'2023-2024 Tracker'!$A$2:$A$5000,"&gt;="&amp;M3,'2023-2024 Tracker'!$A$2:$A$5000,"&lt;="&amp;EOMONTH(M3,0),'2023-2024 Tracker'!$B$2:$B$5000,"Expense",'2023-2024 Tracker'!$C$2:$C$5000,"Professional services")</f>
        <v>0</v>
      </c>
      <c r="N60" s="15">
        <f>SUMIFS('2023-2024 Tracker'!$K$2:$K$5000,'2023-2024 Tracker'!$A$2:$A$5000,"&gt;="&amp;N3,'2023-2024 Tracker'!$A$2:$A$5000,"&lt;="&amp;EOMONTH(N3,0),'2023-2024 Tracker'!$B$2:$B$5000,"Expense",'2023-2024 Tracker'!$C$2:$C$5000,"Professional services")</f>
        <v>0</v>
      </c>
      <c r="O60" s="16">
        <f t="shared" si="19"/>
        <v>0</v>
      </c>
    </row>
    <row r="61" ht="15.75" customHeight="1">
      <c r="A61" s="14" t="s">
        <v>91</v>
      </c>
      <c r="B61" s="8"/>
      <c r="C61" s="15">
        <f>SUMIFS('2023-2024 Tracker'!$K$2:$K$5000,'2023-2024 Tracker'!$A$2:$A$5000,"&gt;="&amp;C3,'2023-2024 Tracker'!$A$2:$A$5000,"&lt;="&amp;EOMONTH(C3,0),'2023-2024 Tracker'!$B$2:$B$5000,"Expense",'2023-2024 Tracker'!$C$2:$C$5000,"Infrastructure/Hosting")</f>
        <v>0</v>
      </c>
      <c r="D61" s="15">
        <f>SUMIFS('2023-2024 Tracker'!$K$2:$K$5000,'2023-2024 Tracker'!$A$2:$A$5000,"&gt;="&amp;D3,'2023-2024 Tracker'!$A$2:$A$5000,"&lt;="&amp;EOMONTH(D3,0),'2023-2024 Tracker'!$B$2:$B$5000,"Expense",'2023-2024 Tracker'!$C$2:$C$5000,"Infrastructure/Hosting")</f>
        <v>0</v>
      </c>
      <c r="E61" s="15">
        <f>SUMIFS('2023-2024 Tracker'!$K$2:$K$5000,'2023-2024 Tracker'!$A$2:$A$5000,"&gt;="&amp;E3,'2023-2024 Tracker'!$A$2:$A$5000,"&lt;="&amp;EOMONTH(E3,0),'2023-2024 Tracker'!$B$2:$B$5000,"Expense",'2023-2024 Tracker'!$C$2:$C$5000,"Infrastructure/Hosting")</f>
        <v>0</v>
      </c>
      <c r="F61" s="15">
        <f>SUMIFS('2023-2024 Tracker'!$K$2:$K$5000,'2023-2024 Tracker'!$A$2:$A$5000,"&gt;="&amp;F3,'2023-2024 Tracker'!$A$2:$A$5000,"&lt;="&amp;EOMONTH(F3,0),'2023-2024 Tracker'!$B$2:$B$5000,"Expense",'2023-2024 Tracker'!$C$2:$C$5000,"Infrastructure/Hosting")</f>
        <v>0</v>
      </c>
      <c r="G61" s="15">
        <f>SUMIFS('2023-2024 Tracker'!$K$2:$K$5000,'2023-2024 Tracker'!$A$2:$A$5000,"&gt;="&amp;G3,'2023-2024 Tracker'!$A$2:$A$5000,"&lt;="&amp;EOMONTH(G3,0),'2023-2024 Tracker'!$B$2:$B$5000,"Expense",'2023-2024 Tracker'!$C$2:$C$5000,"Infrastructure/Hosting")</f>
        <v>0</v>
      </c>
      <c r="H61" s="15">
        <f>SUMIFS('2023-2024 Tracker'!$K$2:$K$5000,'2023-2024 Tracker'!$A$2:$A$5000,"&gt;="&amp;H3,'2023-2024 Tracker'!$A$2:$A$5000,"&lt;="&amp;EOMONTH(H3,0),'2023-2024 Tracker'!$B$2:$B$5000,"Expense",'2023-2024 Tracker'!$C$2:$C$5000,"Infrastructure/Hosting")</f>
        <v>0</v>
      </c>
      <c r="I61" s="15">
        <f>SUMIFS('2023-2024 Tracker'!$K$2:$K$5000,'2023-2024 Tracker'!$A$2:$A$5000,"&gt;="&amp;I3,'2023-2024 Tracker'!$A$2:$A$5000,"&lt;="&amp;EOMONTH(I3,0),'2023-2024 Tracker'!$B$2:$B$5000,"Expense",'2023-2024 Tracker'!$C$2:$C$5000,"Infrastructure/Hosting")</f>
        <v>0</v>
      </c>
      <c r="J61" s="15">
        <f>SUMIFS('2023-2024 Tracker'!$K$2:$K$5000,'2023-2024 Tracker'!$A$2:$A$5000,"&gt;="&amp;J3,'2023-2024 Tracker'!$A$2:$A$5000,"&lt;="&amp;EOMONTH(J3,0),'2023-2024 Tracker'!$B$2:$B$5000,"Expense",'2023-2024 Tracker'!$C$2:$C$5000,"Infrastructure/Hosting")</f>
        <v>0</v>
      </c>
      <c r="K61" s="15">
        <f>SUMIFS('2023-2024 Tracker'!$K$2:$K$5000,'2023-2024 Tracker'!$A$2:$A$5000,"&gt;="&amp;K3,'2023-2024 Tracker'!$A$2:$A$5000,"&lt;="&amp;EOMONTH(K3,0),'2023-2024 Tracker'!$B$2:$B$5000,"Expense",'2023-2024 Tracker'!$C$2:$C$5000,"Infrastructure/Hosting")</f>
        <v>0</v>
      </c>
      <c r="L61" s="15">
        <f>SUMIFS('2023-2024 Tracker'!$K$2:$K$5000,'2023-2024 Tracker'!$A$2:$A$5000,"&gt;="&amp;L3,'2023-2024 Tracker'!$A$2:$A$5000,"&lt;="&amp;EOMONTH(L3,0),'2023-2024 Tracker'!$B$2:$B$5000,"Expense",'2023-2024 Tracker'!$C$2:$C$5000,"Infrastructure/Hosting")</f>
        <v>0</v>
      </c>
      <c r="M61" s="15">
        <f>SUMIFS('2023-2024 Tracker'!$K$2:$K$5000,'2023-2024 Tracker'!$A$2:$A$5000,"&gt;="&amp;M3,'2023-2024 Tracker'!$A$2:$A$5000,"&lt;="&amp;EOMONTH(M3,0),'2023-2024 Tracker'!$B$2:$B$5000,"Expense",'2023-2024 Tracker'!$C$2:$C$5000,"Infrastructure/Hosting")</f>
        <v>0</v>
      </c>
      <c r="N61" s="15">
        <f>SUMIFS('2023-2024 Tracker'!$K$2:$K$5000,'2023-2024 Tracker'!$A$2:$A$5000,"&gt;="&amp;N3,'2023-2024 Tracker'!$A$2:$A$5000,"&lt;="&amp;EOMONTH(N3,0),'2023-2024 Tracker'!$B$2:$B$5000,"Expense",'2023-2024 Tracker'!$C$2:$C$5000,"Infrastructure/Hosting")</f>
        <v>0</v>
      </c>
      <c r="O61" s="16">
        <f t="shared" si="19"/>
        <v>0</v>
      </c>
    </row>
    <row r="62" ht="15.75" customHeight="1">
      <c r="A62" s="14" t="s">
        <v>92</v>
      </c>
      <c r="B62" s="8"/>
      <c r="C62" s="15">
        <f>SUMIFS('2023-2024 Tracker'!$K$2:$K$5000,'2023-2024 Tracker'!$A$2:$A$5000,"&gt;="&amp;C3,'2023-2024 Tracker'!$A$2:$A$5000,"&lt;="&amp;EOMONTH(C3,0),'2023-2024 Tracker'!$B$2:$B$5000,"Expense",'2023-2024 Tracker'!$C$2:$C$5000,"Travel &amp; meetings")</f>
        <v>0</v>
      </c>
      <c r="D62" s="15">
        <f>SUMIFS('2023-2024 Tracker'!$K$2:$K$5000,'2023-2024 Tracker'!$A$2:$A$5000,"&gt;="&amp;D3,'2023-2024 Tracker'!$A$2:$A$5000,"&lt;="&amp;EOMONTH(D3,0),'2023-2024 Tracker'!$B$2:$B$5000,"Expense",'2023-2024 Tracker'!$C$2:$C$5000,"Travel &amp; meetings")</f>
        <v>0</v>
      </c>
      <c r="E62" s="15">
        <f>SUMIFS('2023-2024 Tracker'!$K$2:$K$5000,'2023-2024 Tracker'!$A$2:$A$5000,"&gt;="&amp;E3,'2023-2024 Tracker'!$A$2:$A$5000,"&lt;="&amp;EOMONTH(E3,0),'2023-2024 Tracker'!$B$2:$B$5000,"Expense",'2023-2024 Tracker'!$C$2:$C$5000,"Travel &amp; meetings")</f>
        <v>0</v>
      </c>
      <c r="F62" s="15">
        <f>SUMIFS('2023-2024 Tracker'!$K$2:$K$5000,'2023-2024 Tracker'!$A$2:$A$5000,"&gt;="&amp;F3,'2023-2024 Tracker'!$A$2:$A$5000,"&lt;="&amp;EOMONTH(F3,0),'2023-2024 Tracker'!$B$2:$B$5000,"Expense",'2023-2024 Tracker'!$C$2:$C$5000,"Travel &amp; meetings")</f>
        <v>0</v>
      </c>
      <c r="G62" s="15">
        <f>SUMIFS('2023-2024 Tracker'!$K$2:$K$5000,'2023-2024 Tracker'!$A$2:$A$5000,"&gt;="&amp;G3,'2023-2024 Tracker'!$A$2:$A$5000,"&lt;="&amp;EOMONTH(G3,0),'2023-2024 Tracker'!$B$2:$B$5000,"Expense",'2023-2024 Tracker'!$C$2:$C$5000,"Travel &amp; meetings")</f>
        <v>0</v>
      </c>
      <c r="H62" s="15">
        <f>SUMIFS('2023-2024 Tracker'!$K$2:$K$5000,'2023-2024 Tracker'!$A$2:$A$5000,"&gt;="&amp;H3,'2023-2024 Tracker'!$A$2:$A$5000,"&lt;="&amp;EOMONTH(H3,0),'2023-2024 Tracker'!$B$2:$B$5000,"Expense",'2023-2024 Tracker'!$C$2:$C$5000,"Travel &amp; meetings")</f>
        <v>0</v>
      </c>
      <c r="I62" s="15">
        <f>SUMIFS('2023-2024 Tracker'!$K$2:$K$5000,'2023-2024 Tracker'!$A$2:$A$5000,"&gt;="&amp;I3,'2023-2024 Tracker'!$A$2:$A$5000,"&lt;="&amp;EOMONTH(I3,0),'2023-2024 Tracker'!$B$2:$B$5000,"Expense",'2023-2024 Tracker'!$C$2:$C$5000,"Travel &amp; meetings")</f>
        <v>0</v>
      </c>
      <c r="J62" s="15">
        <f>SUMIFS('2023-2024 Tracker'!$K$2:$K$5000,'2023-2024 Tracker'!$A$2:$A$5000,"&gt;="&amp;J3,'2023-2024 Tracker'!$A$2:$A$5000,"&lt;="&amp;EOMONTH(J3,0),'2023-2024 Tracker'!$B$2:$B$5000,"Expense",'2023-2024 Tracker'!$C$2:$C$5000,"Travel &amp; meetings")</f>
        <v>0</v>
      </c>
      <c r="K62" s="15">
        <f>SUMIFS('2023-2024 Tracker'!$K$2:$K$5000,'2023-2024 Tracker'!$A$2:$A$5000,"&gt;="&amp;K3,'2023-2024 Tracker'!$A$2:$A$5000,"&lt;="&amp;EOMONTH(K3,0),'2023-2024 Tracker'!$B$2:$B$5000,"Expense",'2023-2024 Tracker'!$C$2:$C$5000,"Travel &amp; meetings")</f>
        <v>0</v>
      </c>
      <c r="L62" s="15">
        <f>SUMIFS('2023-2024 Tracker'!$K$2:$K$5000,'2023-2024 Tracker'!$A$2:$A$5000,"&gt;="&amp;L3,'2023-2024 Tracker'!$A$2:$A$5000,"&lt;="&amp;EOMONTH(L3,0),'2023-2024 Tracker'!$B$2:$B$5000,"Expense",'2023-2024 Tracker'!$C$2:$C$5000,"Travel &amp; meetings")</f>
        <v>0</v>
      </c>
      <c r="M62" s="15">
        <f>SUMIFS('2023-2024 Tracker'!$K$2:$K$5000,'2023-2024 Tracker'!$A$2:$A$5000,"&gt;="&amp;M3,'2023-2024 Tracker'!$A$2:$A$5000,"&lt;="&amp;EOMONTH(M3,0),'2023-2024 Tracker'!$B$2:$B$5000,"Expense",'2023-2024 Tracker'!$C$2:$C$5000,"Travel &amp; meetings")</f>
        <v>0</v>
      </c>
      <c r="N62" s="15">
        <f>SUMIFS('2023-2024 Tracker'!$K$2:$K$5000,'2023-2024 Tracker'!$A$2:$A$5000,"&gt;="&amp;N3,'2023-2024 Tracker'!$A$2:$A$5000,"&lt;="&amp;EOMONTH(N3,0),'2023-2024 Tracker'!$B$2:$B$5000,"Expense",'2023-2024 Tracker'!$C$2:$C$5000,"Travel &amp; meetings")</f>
        <v>0</v>
      </c>
      <c r="O62" s="16">
        <f t="shared" si="19"/>
        <v>0</v>
      </c>
    </row>
    <row r="63" ht="15.75" customHeight="1">
      <c r="A63" s="14" t="s">
        <v>93</v>
      </c>
      <c r="B63" s="8"/>
      <c r="C63" s="15">
        <f>SUMIFS('2023-2024 Tracker'!$K$2:$K$5000,'2023-2024 Tracker'!$A$2:$A$5000,"&gt;="&amp;C3,'2023-2024 Tracker'!$A$2:$A$5000,"&lt;="&amp;EOMONTH(C3,0),'2023-2024 Tracker'!$B$2:$B$5000,"Expense",'2023-2024 Tracker'!$C$2:$C$5000,"Office supplies &amp; equipment")</f>
        <v>0</v>
      </c>
      <c r="D63" s="15">
        <f>SUMIFS('2023-2024 Tracker'!$K$2:$K$5000,'2023-2024 Tracker'!$A$2:$A$5000,"&gt;="&amp;D3,'2023-2024 Tracker'!$A$2:$A$5000,"&lt;="&amp;EOMONTH(D3,0),'2023-2024 Tracker'!$B$2:$B$5000,"Expense",'2023-2024 Tracker'!$C$2:$C$5000,"Office supplies &amp; equipment")</f>
        <v>0</v>
      </c>
      <c r="E63" s="15">
        <f>SUMIFS('2023-2024 Tracker'!$K$2:$K$5000,'2023-2024 Tracker'!$A$2:$A$5000,"&gt;="&amp;E3,'2023-2024 Tracker'!$A$2:$A$5000,"&lt;="&amp;EOMONTH(E3,0),'2023-2024 Tracker'!$B$2:$B$5000,"Expense",'2023-2024 Tracker'!$C$2:$C$5000,"Office supplies &amp; equipment")</f>
        <v>0</v>
      </c>
      <c r="F63" s="15">
        <f>SUMIFS('2023-2024 Tracker'!$K$2:$K$5000,'2023-2024 Tracker'!$A$2:$A$5000,"&gt;="&amp;F3,'2023-2024 Tracker'!$A$2:$A$5000,"&lt;="&amp;EOMONTH(F3,0),'2023-2024 Tracker'!$B$2:$B$5000,"Expense",'2023-2024 Tracker'!$C$2:$C$5000,"Office supplies &amp; equipment")</f>
        <v>0</v>
      </c>
      <c r="G63" s="15">
        <f>SUMIFS('2023-2024 Tracker'!$K$2:$K$5000,'2023-2024 Tracker'!$A$2:$A$5000,"&gt;="&amp;G3,'2023-2024 Tracker'!$A$2:$A$5000,"&lt;="&amp;EOMONTH(G3,0),'2023-2024 Tracker'!$B$2:$B$5000,"Expense",'2023-2024 Tracker'!$C$2:$C$5000,"Office supplies &amp; equipment")</f>
        <v>0</v>
      </c>
      <c r="H63" s="15">
        <f>SUMIFS('2023-2024 Tracker'!$K$2:$K$5000,'2023-2024 Tracker'!$A$2:$A$5000,"&gt;="&amp;H3,'2023-2024 Tracker'!$A$2:$A$5000,"&lt;="&amp;EOMONTH(H3,0),'2023-2024 Tracker'!$B$2:$B$5000,"Expense",'2023-2024 Tracker'!$C$2:$C$5000,"Office supplies &amp; equipment")</f>
        <v>0</v>
      </c>
      <c r="I63" s="15">
        <f>SUMIFS('2023-2024 Tracker'!$K$2:$K$5000,'2023-2024 Tracker'!$A$2:$A$5000,"&gt;="&amp;I3,'2023-2024 Tracker'!$A$2:$A$5000,"&lt;="&amp;EOMONTH(I3,0),'2023-2024 Tracker'!$B$2:$B$5000,"Expense",'2023-2024 Tracker'!$C$2:$C$5000,"Office supplies &amp; equipment")</f>
        <v>0</v>
      </c>
      <c r="J63" s="15">
        <f>SUMIFS('2023-2024 Tracker'!$K$2:$K$5000,'2023-2024 Tracker'!$A$2:$A$5000,"&gt;="&amp;J3,'2023-2024 Tracker'!$A$2:$A$5000,"&lt;="&amp;EOMONTH(J3,0),'2023-2024 Tracker'!$B$2:$B$5000,"Expense",'2023-2024 Tracker'!$C$2:$C$5000,"Office supplies &amp; equipment")</f>
        <v>0</v>
      </c>
      <c r="K63" s="15">
        <f>SUMIFS('2023-2024 Tracker'!$K$2:$K$5000,'2023-2024 Tracker'!$A$2:$A$5000,"&gt;="&amp;K3,'2023-2024 Tracker'!$A$2:$A$5000,"&lt;="&amp;EOMONTH(K3,0),'2023-2024 Tracker'!$B$2:$B$5000,"Expense",'2023-2024 Tracker'!$C$2:$C$5000,"Office supplies &amp; equipment")</f>
        <v>0</v>
      </c>
      <c r="L63" s="15">
        <f>SUMIFS('2023-2024 Tracker'!$K$2:$K$5000,'2023-2024 Tracker'!$A$2:$A$5000,"&gt;="&amp;L3,'2023-2024 Tracker'!$A$2:$A$5000,"&lt;="&amp;EOMONTH(L3,0),'2023-2024 Tracker'!$B$2:$B$5000,"Expense",'2023-2024 Tracker'!$C$2:$C$5000,"Office supplies &amp; equipment")</f>
        <v>0</v>
      </c>
      <c r="M63" s="15">
        <f>SUMIFS('2023-2024 Tracker'!$K$2:$K$5000,'2023-2024 Tracker'!$A$2:$A$5000,"&gt;="&amp;M3,'2023-2024 Tracker'!$A$2:$A$5000,"&lt;="&amp;EOMONTH(M3,0),'2023-2024 Tracker'!$B$2:$B$5000,"Expense",'2023-2024 Tracker'!$C$2:$C$5000,"Office supplies &amp; equipment")</f>
        <v>0</v>
      </c>
      <c r="N63" s="15">
        <f>SUMIFS('2023-2024 Tracker'!$K$2:$K$5000,'2023-2024 Tracker'!$A$2:$A$5000,"&gt;="&amp;N3,'2023-2024 Tracker'!$A$2:$A$5000,"&lt;="&amp;EOMONTH(N3,0),'2023-2024 Tracker'!$B$2:$B$5000,"Expense",'2023-2024 Tracker'!$C$2:$C$5000,"Office supplies &amp; equipment")</f>
        <v>0</v>
      </c>
      <c r="O63" s="16">
        <f t="shared" si="19"/>
        <v>0</v>
      </c>
    </row>
    <row r="64" ht="15.75" customHeight="1">
      <c r="A64" s="14" t="s">
        <v>94</v>
      </c>
      <c r="B64" s="8"/>
      <c r="C64" s="15">
        <f>SUMIFS('2023-2024 Tracker'!$K$2:$K$5000,'2023-2024 Tracker'!$A$2:$A$5000,"&gt;="&amp;C3,'2023-2024 Tracker'!$A$2:$A$5000,"&lt;="&amp;EOMONTH(C3,0),'2023-2024 Tracker'!$B$2:$B$5000,"Expense",'2023-2024 Tracker'!$C$2:$C$5000,"Other operational costs")</f>
        <v>0</v>
      </c>
      <c r="D64" s="15">
        <f>SUMIFS('2023-2024 Tracker'!$K$2:$K$5000,'2023-2024 Tracker'!$A$2:$A$5000,"&gt;="&amp;D3,'2023-2024 Tracker'!$A$2:$A$5000,"&lt;="&amp;EOMONTH(D3,0),'2023-2024 Tracker'!$B$2:$B$5000,"Expense",'2023-2024 Tracker'!$C$2:$C$5000,"Other operational costs")</f>
        <v>0</v>
      </c>
      <c r="E64" s="15">
        <f>SUMIFS('2023-2024 Tracker'!$K$2:$K$5000,'2023-2024 Tracker'!$A$2:$A$5000,"&gt;="&amp;E3,'2023-2024 Tracker'!$A$2:$A$5000,"&lt;="&amp;EOMONTH(E3,0),'2023-2024 Tracker'!$B$2:$B$5000,"Expense",'2023-2024 Tracker'!$C$2:$C$5000,"Other operational costs")</f>
        <v>0</v>
      </c>
      <c r="F64" s="15">
        <f>SUMIFS('2023-2024 Tracker'!$K$2:$K$5000,'2023-2024 Tracker'!$A$2:$A$5000,"&gt;="&amp;F3,'2023-2024 Tracker'!$A$2:$A$5000,"&lt;="&amp;EOMONTH(F3,0),'2023-2024 Tracker'!$B$2:$B$5000,"Expense",'2023-2024 Tracker'!$C$2:$C$5000,"Other operational costs")</f>
        <v>0</v>
      </c>
      <c r="G64" s="15">
        <f>SUMIFS('2023-2024 Tracker'!$K$2:$K$5000,'2023-2024 Tracker'!$A$2:$A$5000,"&gt;="&amp;G3,'2023-2024 Tracker'!$A$2:$A$5000,"&lt;="&amp;EOMONTH(G3,0),'2023-2024 Tracker'!$B$2:$B$5000,"Expense",'2023-2024 Tracker'!$C$2:$C$5000,"Other operational costs")</f>
        <v>0</v>
      </c>
      <c r="H64" s="15">
        <f>SUMIFS('2023-2024 Tracker'!$K$2:$K$5000,'2023-2024 Tracker'!$A$2:$A$5000,"&gt;="&amp;H3,'2023-2024 Tracker'!$A$2:$A$5000,"&lt;="&amp;EOMONTH(H3,0),'2023-2024 Tracker'!$B$2:$B$5000,"Expense",'2023-2024 Tracker'!$C$2:$C$5000,"Other operational costs")</f>
        <v>0</v>
      </c>
      <c r="I64" s="15">
        <f>SUMIFS('2023-2024 Tracker'!$K$2:$K$5000,'2023-2024 Tracker'!$A$2:$A$5000,"&gt;="&amp;I3,'2023-2024 Tracker'!$A$2:$A$5000,"&lt;="&amp;EOMONTH(I3,0),'2023-2024 Tracker'!$B$2:$B$5000,"Expense",'2023-2024 Tracker'!$C$2:$C$5000,"Other operational costs")</f>
        <v>0</v>
      </c>
      <c r="J64" s="15">
        <f>SUMIFS('2023-2024 Tracker'!$K$2:$K$5000,'2023-2024 Tracker'!$A$2:$A$5000,"&gt;="&amp;J3,'2023-2024 Tracker'!$A$2:$A$5000,"&lt;="&amp;EOMONTH(J3,0),'2023-2024 Tracker'!$B$2:$B$5000,"Expense",'2023-2024 Tracker'!$C$2:$C$5000,"Other operational costs")</f>
        <v>0</v>
      </c>
      <c r="K64" s="15">
        <f>SUMIFS('2023-2024 Tracker'!$K$2:$K$5000,'2023-2024 Tracker'!$A$2:$A$5000,"&gt;="&amp;K3,'2023-2024 Tracker'!$A$2:$A$5000,"&lt;="&amp;EOMONTH(K3,0),'2023-2024 Tracker'!$B$2:$B$5000,"Expense",'2023-2024 Tracker'!$C$2:$C$5000,"Other operational costs")</f>
        <v>0</v>
      </c>
      <c r="L64" s="15">
        <f>SUMIFS('2023-2024 Tracker'!$K$2:$K$5000,'2023-2024 Tracker'!$A$2:$A$5000,"&gt;="&amp;L3,'2023-2024 Tracker'!$A$2:$A$5000,"&lt;="&amp;EOMONTH(L3,0),'2023-2024 Tracker'!$B$2:$B$5000,"Expense",'2023-2024 Tracker'!$C$2:$C$5000,"Other operational costs")</f>
        <v>0</v>
      </c>
      <c r="M64" s="15">
        <f>SUMIFS('2023-2024 Tracker'!$K$2:$K$5000,'2023-2024 Tracker'!$A$2:$A$5000,"&gt;="&amp;M3,'2023-2024 Tracker'!$A$2:$A$5000,"&lt;="&amp;EOMONTH(M3,0),'2023-2024 Tracker'!$B$2:$B$5000,"Expense",'2023-2024 Tracker'!$C$2:$C$5000,"Other operational costs")</f>
        <v>0</v>
      </c>
      <c r="N64" s="15">
        <f>SUMIFS('2023-2024 Tracker'!$K$2:$K$5000,'2023-2024 Tracker'!$A$2:$A$5000,"&gt;="&amp;N3,'2023-2024 Tracker'!$A$2:$A$5000,"&lt;="&amp;EOMONTH(N3,0),'2023-2024 Tracker'!$B$2:$B$5000,"Expense",'2023-2024 Tracker'!$C$2:$C$5000,"Other operational costs")</f>
        <v>0</v>
      </c>
      <c r="O64" s="16">
        <f t="shared" si="19"/>
        <v>0</v>
      </c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11" t="s">
        <v>95</v>
      </c>
      <c r="B66" s="12"/>
      <c r="C66" s="13">
        <f t="shared" ref="C66:N66" si="20">C4-C11</f>
        <v>0</v>
      </c>
      <c r="D66" s="13">
        <f t="shared" si="20"/>
        <v>0</v>
      </c>
      <c r="E66" s="13">
        <f t="shared" si="20"/>
        <v>0</v>
      </c>
      <c r="F66" s="13">
        <f t="shared" si="20"/>
        <v>0</v>
      </c>
      <c r="G66" s="13">
        <f t="shared" si="20"/>
        <v>0</v>
      </c>
      <c r="H66" s="13">
        <f t="shared" si="20"/>
        <v>0</v>
      </c>
      <c r="I66" s="13">
        <f t="shared" si="20"/>
        <v>0</v>
      </c>
      <c r="J66" s="13">
        <f t="shared" si="20"/>
        <v>0</v>
      </c>
      <c r="K66" s="13">
        <f t="shared" si="20"/>
        <v>0</v>
      </c>
      <c r="L66" s="13">
        <f t="shared" si="20"/>
        <v>0</v>
      </c>
      <c r="M66" s="13">
        <f t="shared" si="20"/>
        <v>0</v>
      </c>
      <c r="N66" s="13">
        <f t="shared" si="20"/>
        <v>0</v>
      </c>
      <c r="O66" s="13">
        <f>SUM(C29:N29)</f>
        <v>0</v>
      </c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11" t="s">
        <v>96</v>
      </c>
      <c r="B68" s="12"/>
      <c r="C68" s="13"/>
      <c r="D68" s="13">
        <f t="shared" ref="D68:N68" si="21">C33</f>
        <v>0</v>
      </c>
      <c r="E68" s="13">
        <f t="shared" si="21"/>
        <v>0</v>
      </c>
      <c r="F68" s="13">
        <f t="shared" si="21"/>
        <v>0</v>
      </c>
      <c r="G68" s="13">
        <f t="shared" si="21"/>
        <v>0</v>
      </c>
      <c r="H68" s="13">
        <f t="shared" si="21"/>
        <v>0</v>
      </c>
      <c r="I68" s="13">
        <f t="shared" si="21"/>
        <v>0</v>
      </c>
      <c r="J68" s="13">
        <f t="shared" si="21"/>
        <v>0</v>
      </c>
      <c r="K68" s="13">
        <f t="shared" si="21"/>
        <v>0</v>
      </c>
      <c r="L68" s="13">
        <f t="shared" si="21"/>
        <v>0</v>
      </c>
      <c r="M68" s="13">
        <f t="shared" si="21"/>
        <v>0</v>
      </c>
      <c r="N68" s="13">
        <f t="shared" si="21"/>
        <v>0</v>
      </c>
      <c r="O68" s="20"/>
    </row>
    <row r="69" ht="15.75" customHeight="1">
      <c r="A69" s="14" t="s">
        <v>95</v>
      </c>
      <c r="B69" s="8"/>
      <c r="C69" s="15">
        <f t="shared" ref="C69:N69" si="22">C29</f>
        <v>0</v>
      </c>
      <c r="D69" s="15">
        <f t="shared" si="22"/>
        <v>0</v>
      </c>
      <c r="E69" s="15">
        <f t="shared" si="22"/>
        <v>0</v>
      </c>
      <c r="F69" s="15">
        <f t="shared" si="22"/>
        <v>0</v>
      </c>
      <c r="G69" s="15">
        <f t="shared" si="22"/>
        <v>0</v>
      </c>
      <c r="H69" s="15">
        <f t="shared" si="22"/>
        <v>0</v>
      </c>
      <c r="I69" s="15">
        <f t="shared" si="22"/>
        <v>0</v>
      </c>
      <c r="J69" s="15">
        <f t="shared" si="22"/>
        <v>0</v>
      </c>
      <c r="K69" s="15">
        <f t="shared" si="22"/>
        <v>0</v>
      </c>
      <c r="L69" s="15">
        <f t="shared" si="22"/>
        <v>0</v>
      </c>
      <c r="M69" s="15">
        <f t="shared" si="22"/>
        <v>0</v>
      </c>
      <c r="N69" s="15">
        <f t="shared" si="22"/>
        <v>0</v>
      </c>
      <c r="O69" s="15">
        <f>SUM(C32:N32)</f>
        <v>0</v>
      </c>
    </row>
    <row r="70" ht="15.75" customHeight="1">
      <c r="A70" s="11" t="s">
        <v>97</v>
      </c>
      <c r="B70" s="12"/>
      <c r="C70" s="13">
        <f t="shared" ref="C70:N70" si="23">C31+C32</f>
        <v>0</v>
      </c>
      <c r="D70" s="13">
        <f t="shared" si="23"/>
        <v>0</v>
      </c>
      <c r="E70" s="13">
        <f t="shared" si="23"/>
        <v>0</v>
      </c>
      <c r="F70" s="13">
        <f t="shared" si="23"/>
        <v>0</v>
      </c>
      <c r="G70" s="13">
        <f t="shared" si="23"/>
        <v>0</v>
      </c>
      <c r="H70" s="13">
        <f t="shared" si="23"/>
        <v>0</v>
      </c>
      <c r="I70" s="13">
        <f t="shared" si="23"/>
        <v>0</v>
      </c>
      <c r="J70" s="13">
        <f t="shared" si="23"/>
        <v>0</v>
      </c>
      <c r="K70" s="13">
        <f t="shared" si="23"/>
        <v>0</v>
      </c>
      <c r="L70" s="13">
        <f t="shared" si="23"/>
        <v>0</v>
      </c>
      <c r="M70" s="13">
        <f t="shared" si="23"/>
        <v>0</v>
      </c>
      <c r="N70" s="13">
        <f t="shared" si="23"/>
        <v>0</v>
      </c>
      <c r="O70" s="13">
        <f>N33</f>
        <v>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1" t="s">
        <v>1</v>
      </c>
      <c r="B1" s="21" t="s">
        <v>12</v>
      </c>
      <c r="C1" s="21" t="s">
        <v>112</v>
      </c>
      <c r="D1" s="21" t="s">
        <v>113</v>
      </c>
      <c r="E1" s="21" t="s">
        <v>114</v>
      </c>
      <c r="F1" s="21" t="s">
        <v>115</v>
      </c>
      <c r="G1" s="21" t="s">
        <v>116</v>
      </c>
      <c r="H1" s="21" t="s">
        <v>117</v>
      </c>
      <c r="I1" s="21" t="s">
        <v>118</v>
      </c>
    </row>
    <row r="2">
      <c r="A2" s="21" t="s">
        <v>73</v>
      </c>
      <c r="B2" s="21" t="s">
        <v>27</v>
      </c>
      <c r="C2" s="21" t="s">
        <v>119</v>
      </c>
      <c r="D2" s="21" t="s">
        <v>120</v>
      </c>
      <c r="E2" s="21" t="s">
        <v>120</v>
      </c>
      <c r="F2" s="21" t="s">
        <v>121</v>
      </c>
      <c r="G2" s="21" t="s">
        <v>20</v>
      </c>
      <c r="H2" s="21" t="s">
        <v>21</v>
      </c>
      <c r="I2" s="21" t="s">
        <v>121</v>
      </c>
    </row>
    <row r="3">
      <c r="A3" s="21" t="s">
        <v>19</v>
      </c>
      <c r="B3" s="21" t="s">
        <v>122</v>
      </c>
      <c r="C3" s="21" t="s">
        <v>26</v>
      </c>
      <c r="D3" s="21" t="s">
        <v>28</v>
      </c>
      <c r="E3" s="21" t="s">
        <v>29</v>
      </c>
      <c r="F3" s="21" t="s">
        <v>123</v>
      </c>
      <c r="G3" s="21" t="s">
        <v>124</v>
      </c>
      <c r="H3" s="21" t="s">
        <v>36</v>
      </c>
      <c r="I3" s="21" t="s">
        <v>123</v>
      </c>
    </row>
    <row r="4">
      <c r="A4" s="8"/>
      <c r="B4" s="21" t="s">
        <v>44</v>
      </c>
      <c r="C4" s="21" t="s">
        <v>125</v>
      </c>
      <c r="D4" s="21" t="s">
        <v>126</v>
      </c>
      <c r="E4" s="21" t="s">
        <v>127</v>
      </c>
      <c r="F4" s="21" t="s">
        <v>128</v>
      </c>
      <c r="G4" s="21" t="s">
        <v>129</v>
      </c>
      <c r="H4" s="21" t="s">
        <v>41</v>
      </c>
      <c r="I4" s="21" t="s">
        <v>128</v>
      </c>
    </row>
    <row r="5">
      <c r="A5" s="8"/>
      <c r="B5" s="8"/>
      <c r="C5" s="21" t="s">
        <v>130</v>
      </c>
      <c r="D5" s="21" t="s">
        <v>131</v>
      </c>
      <c r="E5" s="8"/>
      <c r="F5" s="21" t="s">
        <v>132</v>
      </c>
      <c r="G5" s="21" t="s">
        <v>133</v>
      </c>
      <c r="H5" s="21" t="s">
        <v>134</v>
      </c>
      <c r="I5" s="21" t="s">
        <v>132</v>
      </c>
    </row>
    <row r="6">
      <c r="A6" s="8"/>
      <c r="B6" s="8"/>
      <c r="C6" s="21" t="s">
        <v>131</v>
      </c>
      <c r="D6" s="8"/>
      <c r="E6" s="8"/>
      <c r="F6" s="21" t="s">
        <v>135</v>
      </c>
      <c r="G6" s="21" t="s">
        <v>136</v>
      </c>
      <c r="H6" s="21" t="s">
        <v>137</v>
      </c>
      <c r="I6" s="21" t="s">
        <v>135</v>
      </c>
    </row>
    <row r="7">
      <c r="A7" s="8"/>
      <c r="B7" s="8"/>
      <c r="C7" s="8"/>
      <c r="D7" s="8"/>
      <c r="E7" s="8"/>
      <c r="F7" s="8"/>
      <c r="G7" s="21" t="s">
        <v>138</v>
      </c>
      <c r="H7" s="8"/>
      <c r="I7" s="21" t="s">
        <v>20</v>
      </c>
    </row>
    <row r="8">
      <c r="A8" s="8"/>
      <c r="B8" s="8"/>
      <c r="C8" s="8"/>
      <c r="D8" s="8"/>
      <c r="E8" s="8"/>
      <c r="F8" s="8"/>
      <c r="G8" s="21" t="s">
        <v>139</v>
      </c>
      <c r="H8" s="8"/>
      <c r="I8" s="21" t="s">
        <v>124</v>
      </c>
    </row>
    <row r="9">
      <c r="A9" s="8"/>
      <c r="B9" s="8"/>
      <c r="C9" s="8"/>
      <c r="D9" s="8"/>
      <c r="E9" s="8"/>
      <c r="F9" s="8"/>
      <c r="G9" s="21" t="s">
        <v>140</v>
      </c>
      <c r="H9" s="8"/>
      <c r="I9" s="21" t="s">
        <v>129</v>
      </c>
    </row>
    <row r="10">
      <c r="A10" s="8"/>
      <c r="B10" s="8"/>
      <c r="C10" s="8"/>
      <c r="D10" s="8"/>
      <c r="E10" s="8"/>
      <c r="F10" s="8"/>
      <c r="G10" s="21" t="s">
        <v>141</v>
      </c>
      <c r="H10" s="8"/>
      <c r="I10" s="21" t="s">
        <v>133</v>
      </c>
    </row>
    <row r="11">
      <c r="A11" s="8"/>
      <c r="B11" s="8"/>
      <c r="C11" s="8"/>
      <c r="D11" s="8"/>
      <c r="E11" s="8"/>
      <c r="F11" s="8"/>
      <c r="G11" s="8"/>
      <c r="H11" s="8"/>
      <c r="I11" s="21" t="s">
        <v>136</v>
      </c>
    </row>
    <row r="12">
      <c r="A12" s="8"/>
      <c r="B12" s="8"/>
      <c r="C12" s="8"/>
      <c r="D12" s="8"/>
      <c r="E12" s="8"/>
      <c r="F12" s="8"/>
      <c r="G12" s="8"/>
      <c r="H12" s="8"/>
      <c r="I12" s="21" t="s">
        <v>138</v>
      </c>
    </row>
    <row r="13">
      <c r="A13" s="8"/>
      <c r="B13" s="8"/>
      <c r="C13" s="8"/>
      <c r="D13" s="8"/>
      <c r="E13" s="8"/>
      <c r="F13" s="8"/>
      <c r="G13" s="8"/>
      <c r="H13" s="8"/>
      <c r="I13" s="21" t="s">
        <v>139</v>
      </c>
    </row>
    <row r="14">
      <c r="A14" s="8"/>
      <c r="B14" s="8"/>
      <c r="C14" s="8"/>
      <c r="D14" s="8"/>
      <c r="E14" s="8"/>
      <c r="F14" s="8"/>
      <c r="G14" s="8"/>
      <c r="H14" s="8"/>
      <c r="I14" s="21" t="s">
        <v>140</v>
      </c>
    </row>
    <row r="15">
      <c r="A15" s="8"/>
      <c r="B15" s="8"/>
      <c r="C15" s="8"/>
      <c r="D15" s="8"/>
      <c r="E15" s="8"/>
      <c r="F15" s="8"/>
      <c r="G15" s="8"/>
      <c r="H15" s="8"/>
      <c r="I15" s="21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8.71"/>
    <col customWidth="1" min="4" max="4" width="14.0"/>
    <col customWidth="1" min="5" max="5" width="8.71"/>
    <col customWidth="1" min="6" max="6" width="18.0"/>
    <col customWidth="1" min="7" max="7" width="14.0"/>
    <col customWidth="1" min="8" max="8" width="12.0"/>
    <col customWidth="1" min="9" max="9" width="8.71"/>
    <col customWidth="1" min="10" max="10" width="26.0"/>
    <col customWidth="1" min="11" max="11" width="16.0"/>
    <col customWidth="1" min="12" max="26" width="8.71"/>
  </cols>
  <sheetData>
    <row r="1" ht="27.75" customHeight="1">
      <c r="A1" s="22" t="s">
        <v>142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>
      <c r="A2" s="23" t="s">
        <v>143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>
      <c r="A3" s="24" t="s">
        <v>144</v>
      </c>
      <c r="B3" s="25">
        <f>SUM(K6:K200)</f>
        <v>0</v>
      </c>
      <c r="C3" s="8"/>
      <c r="D3" s="24" t="s">
        <v>145</v>
      </c>
      <c r="E3" s="25">
        <f>SUM(L6:L200)</f>
        <v>0</v>
      </c>
      <c r="F3" s="8"/>
      <c r="G3" s="8"/>
      <c r="H3" s="8"/>
      <c r="I3" s="8"/>
      <c r="J3" s="8"/>
      <c r="K3" s="8"/>
      <c r="L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9.5" customHeight="1">
      <c r="A5" s="26" t="s">
        <v>146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ht="30.0" customHeight="1">
      <c r="A6" s="27" t="s">
        <v>147</v>
      </c>
      <c r="B6" s="27" t="s">
        <v>148</v>
      </c>
      <c r="C6" s="27" t="s">
        <v>149</v>
      </c>
      <c r="D6" s="27" t="s">
        <v>150</v>
      </c>
      <c r="E6" s="27" t="s">
        <v>11</v>
      </c>
      <c r="F6" s="27" t="s">
        <v>151</v>
      </c>
      <c r="G6" s="27" t="s">
        <v>152</v>
      </c>
      <c r="H6" s="27" t="s">
        <v>12</v>
      </c>
      <c r="I6" s="27" t="s">
        <v>153</v>
      </c>
      <c r="J6" s="27" t="s">
        <v>17</v>
      </c>
      <c r="K6" s="27" t="s">
        <v>154</v>
      </c>
      <c r="L6" s="27" t="s">
        <v>155</v>
      </c>
    </row>
    <row r="7">
      <c r="A7" s="28" t="s">
        <v>21</v>
      </c>
      <c r="B7" s="28" t="s">
        <v>23</v>
      </c>
      <c r="C7" s="29" t="s">
        <v>156</v>
      </c>
      <c r="D7" s="30" t="s">
        <v>157</v>
      </c>
      <c r="E7" s="30" t="s">
        <v>26</v>
      </c>
      <c r="F7" s="30" t="s">
        <v>28</v>
      </c>
      <c r="G7" s="31" t="s">
        <v>158</v>
      </c>
      <c r="H7" s="30" t="s">
        <v>159</v>
      </c>
      <c r="I7" s="32">
        <v>45164.0</v>
      </c>
      <c r="J7" s="28" t="s">
        <v>160</v>
      </c>
      <c r="K7" s="25"/>
      <c r="L7" s="25"/>
    </row>
    <row r="8">
      <c r="A8" s="28" t="s">
        <v>161</v>
      </c>
      <c r="B8" s="28" t="s">
        <v>23</v>
      </c>
      <c r="C8" s="29" t="s">
        <v>162</v>
      </c>
      <c r="D8" s="30" t="s">
        <v>163</v>
      </c>
      <c r="E8" s="30" t="s">
        <v>26</v>
      </c>
      <c r="F8" s="30" t="s">
        <v>28</v>
      </c>
      <c r="G8" s="32">
        <v>46157.0</v>
      </c>
      <c r="H8" s="30" t="s">
        <v>159</v>
      </c>
      <c r="I8" s="32">
        <v>45792.0</v>
      </c>
      <c r="J8" s="28" t="s">
        <v>164</v>
      </c>
      <c r="K8" s="25"/>
      <c r="L8" s="25"/>
    </row>
    <row r="9">
      <c r="A9" s="28" t="s">
        <v>36</v>
      </c>
      <c r="B9" s="28" t="s">
        <v>37</v>
      </c>
      <c r="C9" s="29" t="s">
        <v>165</v>
      </c>
      <c r="D9" s="30" t="s">
        <v>163</v>
      </c>
      <c r="E9" s="30" t="s">
        <v>26</v>
      </c>
      <c r="F9" s="30" t="s">
        <v>28</v>
      </c>
      <c r="G9" s="32">
        <v>46079.0</v>
      </c>
      <c r="H9" s="30" t="s">
        <v>159</v>
      </c>
      <c r="I9" s="32">
        <v>45345.0</v>
      </c>
      <c r="J9" s="28" t="s">
        <v>166</v>
      </c>
      <c r="K9" s="25"/>
      <c r="L9" s="25"/>
    </row>
    <row r="10">
      <c r="A10" s="28" t="s">
        <v>41</v>
      </c>
      <c r="B10" s="28" t="s">
        <v>41</v>
      </c>
      <c r="C10" s="29" t="s">
        <v>167</v>
      </c>
      <c r="D10" s="30" t="s">
        <v>157</v>
      </c>
      <c r="E10" s="30" t="s">
        <v>26</v>
      </c>
      <c r="F10" s="30" t="s">
        <v>28</v>
      </c>
      <c r="G10" s="31" t="s">
        <v>168</v>
      </c>
      <c r="H10" s="30" t="s">
        <v>159</v>
      </c>
      <c r="I10" s="32">
        <v>45614.0</v>
      </c>
      <c r="J10" s="28" t="s">
        <v>169</v>
      </c>
      <c r="K10" s="25"/>
      <c r="L10" s="25"/>
    </row>
    <row r="11">
      <c r="A11" s="28"/>
      <c r="B11" s="28"/>
      <c r="C11" s="29"/>
      <c r="D11" s="30"/>
      <c r="E11" s="30"/>
      <c r="F11" s="30"/>
      <c r="G11" s="31"/>
      <c r="H11" s="30"/>
      <c r="I11" s="31"/>
      <c r="J11" s="28"/>
      <c r="K11" s="25"/>
      <c r="L11" s="25"/>
    </row>
    <row r="12">
      <c r="A12" s="28"/>
      <c r="B12" s="28"/>
      <c r="C12" s="29"/>
      <c r="D12" s="30"/>
      <c r="E12" s="30"/>
      <c r="F12" s="30"/>
      <c r="G12" s="31"/>
      <c r="H12" s="30"/>
      <c r="I12" s="31"/>
      <c r="J12" s="28"/>
      <c r="K12" s="25"/>
      <c r="L12" s="25"/>
    </row>
    <row r="13">
      <c r="A13" s="28"/>
      <c r="B13" s="28"/>
      <c r="C13" s="29"/>
      <c r="D13" s="30"/>
      <c r="E13" s="30"/>
      <c r="F13" s="30"/>
      <c r="G13" s="31"/>
      <c r="H13" s="30"/>
      <c r="I13" s="31"/>
      <c r="J13" s="28"/>
      <c r="K13" s="25"/>
      <c r="L13" s="25"/>
    </row>
    <row r="14">
      <c r="A14" s="28"/>
      <c r="B14" s="28"/>
      <c r="C14" s="29"/>
      <c r="D14" s="30"/>
      <c r="E14" s="30"/>
      <c r="F14" s="30"/>
      <c r="G14" s="31"/>
      <c r="H14" s="30"/>
      <c r="I14" s="31"/>
      <c r="J14" s="28"/>
      <c r="K14" s="25"/>
      <c r="L14" s="25"/>
    </row>
    <row r="15">
      <c r="A15" s="28"/>
      <c r="B15" s="28"/>
      <c r="C15" s="29"/>
      <c r="D15" s="30"/>
      <c r="E15" s="30"/>
      <c r="F15" s="30"/>
      <c r="G15" s="31"/>
      <c r="H15" s="30"/>
      <c r="I15" s="31"/>
      <c r="J15" s="28"/>
      <c r="K15" s="25"/>
      <c r="L15" s="25"/>
    </row>
    <row r="16">
      <c r="A16" s="28"/>
      <c r="B16" s="28"/>
      <c r="C16" s="29"/>
      <c r="D16" s="30"/>
      <c r="E16" s="30"/>
      <c r="F16" s="30"/>
      <c r="G16" s="31"/>
      <c r="H16" s="30"/>
      <c r="I16" s="31"/>
      <c r="J16" s="28"/>
      <c r="K16" s="25"/>
      <c r="L16" s="25"/>
    </row>
    <row r="17">
      <c r="A17" s="28"/>
      <c r="B17" s="28"/>
      <c r="C17" s="29"/>
      <c r="D17" s="30"/>
      <c r="E17" s="30"/>
      <c r="F17" s="30"/>
      <c r="G17" s="31"/>
      <c r="H17" s="30"/>
      <c r="I17" s="31"/>
      <c r="J17" s="28"/>
      <c r="K17" s="25"/>
      <c r="L17" s="25"/>
    </row>
    <row r="18">
      <c r="A18" s="28"/>
      <c r="B18" s="28"/>
      <c r="C18" s="29"/>
      <c r="D18" s="30"/>
      <c r="E18" s="30"/>
      <c r="F18" s="30"/>
      <c r="G18" s="31"/>
      <c r="H18" s="30"/>
      <c r="I18" s="31"/>
      <c r="J18" s="28"/>
      <c r="K18" s="25"/>
      <c r="L18" s="25"/>
    </row>
    <row r="19">
      <c r="A19" s="28"/>
      <c r="B19" s="28"/>
      <c r="C19" s="29"/>
      <c r="D19" s="30"/>
      <c r="E19" s="30"/>
      <c r="F19" s="30"/>
      <c r="G19" s="31"/>
      <c r="H19" s="30"/>
      <c r="I19" s="31"/>
      <c r="J19" s="28"/>
      <c r="K19" s="25"/>
      <c r="L19" s="25"/>
    </row>
    <row r="20">
      <c r="A20" s="28"/>
      <c r="B20" s="28"/>
      <c r="C20" s="29"/>
      <c r="D20" s="30"/>
      <c r="E20" s="30"/>
      <c r="F20" s="30"/>
      <c r="G20" s="31"/>
      <c r="H20" s="30"/>
      <c r="I20" s="31"/>
      <c r="J20" s="28"/>
      <c r="K20" s="25"/>
      <c r="L20" s="25"/>
    </row>
    <row r="21" ht="15.75" customHeight="1">
      <c r="A21" s="28"/>
      <c r="B21" s="28"/>
      <c r="C21" s="29"/>
      <c r="D21" s="30"/>
      <c r="E21" s="30"/>
      <c r="F21" s="30"/>
      <c r="G21" s="31"/>
      <c r="H21" s="30"/>
      <c r="I21" s="31"/>
      <c r="J21" s="28"/>
      <c r="K21" s="25"/>
      <c r="L21" s="25"/>
    </row>
    <row r="22" ht="15.75" customHeight="1">
      <c r="A22" s="28"/>
      <c r="B22" s="28"/>
      <c r="C22" s="29"/>
      <c r="D22" s="30"/>
      <c r="E22" s="30"/>
      <c r="F22" s="30"/>
      <c r="G22" s="31"/>
      <c r="H22" s="30"/>
      <c r="I22" s="31"/>
      <c r="J22" s="28"/>
      <c r="K22" s="25"/>
      <c r="L22" s="25"/>
    </row>
    <row r="23" ht="15.75" customHeight="1">
      <c r="A23" s="28"/>
      <c r="B23" s="28"/>
      <c r="C23" s="29"/>
      <c r="D23" s="30"/>
      <c r="E23" s="30"/>
      <c r="F23" s="30"/>
      <c r="G23" s="31"/>
      <c r="H23" s="30"/>
      <c r="I23" s="31"/>
      <c r="J23" s="28"/>
      <c r="K23" s="25"/>
      <c r="L23" s="25"/>
    </row>
    <row r="24" ht="15.75" customHeight="1">
      <c r="A24" s="28"/>
      <c r="B24" s="28"/>
      <c r="C24" s="29"/>
      <c r="D24" s="30"/>
      <c r="E24" s="30"/>
      <c r="F24" s="30"/>
      <c r="G24" s="31"/>
      <c r="H24" s="30"/>
      <c r="I24" s="31"/>
      <c r="J24" s="28"/>
      <c r="K24" s="25"/>
      <c r="L24" s="25"/>
    </row>
    <row r="25" ht="15.75" customHeight="1">
      <c r="A25" s="28"/>
      <c r="B25" s="28"/>
      <c r="C25" s="29"/>
      <c r="D25" s="30"/>
      <c r="E25" s="30"/>
      <c r="F25" s="30"/>
      <c r="G25" s="31"/>
      <c r="H25" s="30"/>
      <c r="I25" s="31"/>
      <c r="J25" s="28"/>
      <c r="K25" s="25"/>
      <c r="L25" s="25"/>
    </row>
    <row r="26" ht="15.75" customHeight="1">
      <c r="A26" s="28"/>
      <c r="B26" s="28"/>
      <c r="C26" s="29"/>
      <c r="D26" s="30"/>
      <c r="E26" s="30"/>
      <c r="F26" s="30"/>
      <c r="G26" s="31"/>
      <c r="H26" s="30"/>
      <c r="I26" s="31"/>
      <c r="J26" s="28"/>
      <c r="K26" s="25"/>
      <c r="L26" s="25"/>
    </row>
    <row r="27" ht="15.75" customHeight="1">
      <c r="A27" s="28"/>
      <c r="B27" s="28"/>
      <c r="C27" s="29"/>
      <c r="D27" s="30"/>
      <c r="E27" s="30"/>
      <c r="F27" s="30"/>
      <c r="G27" s="31"/>
      <c r="H27" s="30"/>
      <c r="I27" s="31"/>
      <c r="J27" s="28"/>
      <c r="K27" s="25"/>
      <c r="L27" s="25"/>
    </row>
    <row r="28" ht="15.75" customHeight="1">
      <c r="A28" s="28"/>
      <c r="B28" s="28"/>
      <c r="C28" s="29"/>
      <c r="D28" s="30"/>
      <c r="E28" s="30"/>
      <c r="F28" s="30"/>
      <c r="G28" s="31"/>
      <c r="H28" s="30"/>
      <c r="I28" s="31"/>
      <c r="J28" s="28"/>
      <c r="K28" s="25"/>
      <c r="L28" s="25"/>
    </row>
    <row r="29" ht="15.75" customHeight="1">
      <c r="A29" s="28"/>
      <c r="B29" s="28"/>
      <c r="C29" s="29"/>
      <c r="D29" s="30"/>
      <c r="E29" s="30"/>
      <c r="F29" s="30"/>
      <c r="G29" s="31"/>
      <c r="H29" s="30"/>
      <c r="I29" s="31"/>
      <c r="J29" s="28"/>
      <c r="K29" s="25"/>
      <c r="L29" s="25"/>
    </row>
    <row r="30" ht="15.75" customHeight="1">
      <c r="A30" s="28"/>
      <c r="B30" s="28"/>
      <c r="C30" s="29"/>
      <c r="D30" s="30"/>
      <c r="E30" s="30"/>
      <c r="F30" s="30"/>
      <c r="G30" s="31"/>
      <c r="H30" s="30"/>
      <c r="I30" s="31"/>
      <c r="J30" s="28"/>
      <c r="K30" s="25"/>
      <c r="L30" s="25"/>
    </row>
    <row r="31" ht="15.75" customHeight="1">
      <c r="A31" s="28"/>
      <c r="B31" s="28"/>
      <c r="C31" s="29"/>
      <c r="D31" s="30"/>
      <c r="E31" s="30"/>
      <c r="F31" s="30"/>
      <c r="G31" s="31"/>
      <c r="H31" s="30"/>
      <c r="I31" s="31"/>
      <c r="J31" s="28"/>
      <c r="K31" s="25"/>
      <c r="L31" s="25"/>
    </row>
    <row r="32" ht="15.75" customHeight="1">
      <c r="A32" s="28"/>
      <c r="B32" s="28"/>
      <c r="C32" s="29"/>
      <c r="D32" s="30"/>
      <c r="E32" s="30"/>
      <c r="F32" s="30"/>
      <c r="G32" s="31"/>
      <c r="H32" s="30"/>
      <c r="I32" s="31"/>
      <c r="J32" s="28"/>
      <c r="K32" s="25"/>
      <c r="L32" s="25"/>
    </row>
    <row r="33" ht="15.75" customHeight="1">
      <c r="A33" s="28"/>
      <c r="B33" s="28"/>
      <c r="C33" s="29"/>
      <c r="D33" s="30"/>
      <c r="E33" s="30"/>
      <c r="F33" s="30"/>
      <c r="G33" s="31"/>
      <c r="H33" s="30"/>
      <c r="I33" s="31"/>
      <c r="J33" s="28"/>
      <c r="K33" s="25"/>
      <c r="L33" s="25"/>
    </row>
    <row r="34" ht="15.75" customHeight="1">
      <c r="A34" s="28"/>
      <c r="B34" s="28"/>
      <c r="C34" s="29"/>
      <c r="D34" s="30"/>
      <c r="E34" s="30"/>
      <c r="F34" s="30"/>
      <c r="G34" s="31"/>
      <c r="H34" s="30"/>
      <c r="I34" s="31"/>
      <c r="J34" s="28"/>
      <c r="K34" s="25"/>
      <c r="L34" s="25"/>
    </row>
    <row r="35" ht="15.75" customHeight="1">
      <c r="A35" s="28"/>
      <c r="B35" s="28"/>
      <c r="C35" s="29"/>
      <c r="D35" s="30"/>
      <c r="E35" s="30"/>
      <c r="F35" s="30"/>
      <c r="G35" s="31"/>
      <c r="H35" s="30"/>
      <c r="I35" s="31"/>
      <c r="J35" s="28"/>
      <c r="K35" s="25"/>
      <c r="L35" s="25"/>
    </row>
    <row r="36" ht="15.75" customHeight="1">
      <c r="A36" s="28"/>
      <c r="B36" s="28"/>
      <c r="C36" s="29"/>
      <c r="D36" s="30"/>
      <c r="E36" s="30"/>
      <c r="F36" s="30"/>
      <c r="G36" s="31"/>
      <c r="H36" s="30"/>
      <c r="I36" s="31"/>
      <c r="J36" s="28"/>
      <c r="K36" s="25"/>
      <c r="L36" s="25"/>
    </row>
    <row r="37" ht="15.75" customHeight="1">
      <c r="A37" s="28"/>
      <c r="B37" s="28"/>
      <c r="C37" s="29"/>
      <c r="D37" s="30"/>
      <c r="E37" s="30"/>
      <c r="F37" s="30"/>
      <c r="G37" s="31"/>
      <c r="H37" s="30"/>
      <c r="I37" s="31"/>
      <c r="J37" s="28"/>
      <c r="K37" s="25"/>
      <c r="L37" s="25"/>
    </row>
    <row r="38" ht="15.75" customHeight="1">
      <c r="A38" s="28"/>
      <c r="B38" s="28"/>
      <c r="C38" s="29"/>
      <c r="D38" s="30"/>
      <c r="E38" s="30"/>
      <c r="F38" s="30"/>
      <c r="G38" s="31"/>
      <c r="H38" s="30"/>
      <c r="I38" s="31"/>
      <c r="J38" s="28"/>
      <c r="K38" s="25"/>
      <c r="L38" s="25"/>
    </row>
    <row r="39" ht="15.75" customHeight="1">
      <c r="A39" s="28"/>
      <c r="B39" s="28"/>
      <c r="C39" s="29"/>
      <c r="D39" s="30"/>
      <c r="E39" s="30"/>
      <c r="F39" s="30"/>
      <c r="G39" s="31"/>
      <c r="H39" s="30"/>
      <c r="I39" s="31"/>
      <c r="J39" s="28"/>
      <c r="K39" s="25"/>
      <c r="L39" s="25"/>
    </row>
    <row r="40" ht="15.75" customHeight="1">
      <c r="A40" s="28"/>
      <c r="B40" s="28"/>
      <c r="C40" s="29"/>
      <c r="D40" s="30"/>
      <c r="E40" s="30"/>
      <c r="F40" s="30"/>
      <c r="G40" s="31"/>
      <c r="H40" s="30"/>
      <c r="I40" s="31"/>
      <c r="J40" s="28"/>
      <c r="K40" s="25"/>
      <c r="L40" s="25"/>
    </row>
    <row r="41" ht="15.75" customHeight="1">
      <c r="A41" s="28"/>
      <c r="B41" s="28"/>
      <c r="C41" s="29"/>
      <c r="D41" s="30"/>
      <c r="E41" s="30"/>
      <c r="F41" s="30"/>
      <c r="G41" s="31"/>
      <c r="H41" s="30"/>
      <c r="I41" s="31"/>
      <c r="J41" s="28"/>
      <c r="K41" s="25"/>
      <c r="L41" s="25"/>
    </row>
    <row r="42" ht="15.75" customHeight="1">
      <c r="A42" s="28"/>
      <c r="B42" s="28"/>
      <c r="C42" s="29"/>
      <c r="D42" s="30"/>
      <c r="E42" s="30"/>
      <c r="F42" s="30"/>
      <c r="G42" s="31"/>
      <c r="H42" s="30"/>
      <c r="I42" s="31"/>
      <c r="J42" s="28"/>
      <c r="K42" s="25"/>
      <c r="L42" s="25"/>
    </row>
    <row r="43" ht="15.75" customHeight="1">
      <c r="A43" s="28"/>
      <c r="B43" s="28"/>
      <c r="C43" s="29"/>
      <c r="D43" s="30"/>
      <c r="E43" s="30"/>
      <c r="F43" s="30"/>
      <c r="G43" s="31"/>
      <c r="H43" s="30"/>
      <c r="I43" s="31"/>
      <c r="J43" s="28"/>
      <c r="K43" s="25"/>
      <c r="L43" s="25"/>
    </row>
    <row r="44" ht="15.75" customHeight="1">
      <c r="A44" s="28"/>
      <c r="B44" s="28"/>
      <c r="C44" s="29"/>
      <c r="D44" s="30"/>
      <c r="E44" s="30"/>
      <c r="F44" s="30"/>
      <c r="G44" s="31"/>
      <c r="H44" s="30"/>
      <c r="I44" s="31"/>
      <c r="J44" s="28"/>
      <c r="K44" s="25"/>
      <c r="L44" s="25"/>
    </row>
    <row r="45" ht="15.75" customHeight="1">
      <c r="A45" s="28"/>
      <c r="B45" s="28"/>
      <c r="C45" s="29"/>
      <c r="D45" s="30"/>
      <c r="E45" s="30"/>
      <c r="F45" s="30"/>
      <c r="G45" s="31"/>
      <c r="H45" s="30"/>
      <c r="I45" s="31"/>
      <c r="J45" s="28"/>
      <c r="K45" s="25"/>
      <c r="L45" s="25"/>
    </row>
    <row r="46" ht="15.75" customHeight="1">
      <c r="A46" s="28"/>
      <c r="B46" s="28"/>
      <c r="C46" s="29"/>
      <c r="D46" s="30"/>
      <c r="E46" s="30"/>
      <c r="F46" s="30"/>
      <c r="G46" s="31"/>
      <c r="H46" s="30"/>
      <c r="I46" s="31"/>
      <c r="J46" s="28"/>
      <c r="K46" s="25"/>
      <c r="L46" s="25"/>
    </row>
    <row r="47" ht="15.75" customHeight="1">
      <c r="A47" s="28"/>
      <c r="B47" s="28"/>
      <c r="C47" s="29"/>
      <c r="D47" s="30"/>
      <c r="E47" s="30"/>
      <c r="F47" s="30"/>
      <c r="G47" s="31"/>
      <c r="H47" s="30"/>
      <c r="I47" s="31"/>
      <c r="J47" s="28"/>
      <c r="K47" s="25" t="str">
        <f t="shared" ref="K47:K200" si="1">IF(D47="Monthly",C47,IF(D47="Annual",C47/12,IF(D47="Quarterly",C47/3,"")))</f>
        <v/>
      </c>
      <c r="L47" s="25" t="str">
        <f t="shared" ref="L47:L200" si="2">IF(D47="Monthly",C47*12,IF(D47="Annual",C47,IF(D47="Quarterly",C47*4,"")))</f>
        <v/>
      </c>
    </row>
    <row r="48" ht="15.75" customHeight="1">
      <c r="A48" s="28"/>
      <c r="B48" s="28"/>
      <c r="C48" s="29"/>
      <c r="D48" s="30"/>
      <c r="E48" s="30"/>
      <c r="F48" s="30"/>
      <c r="G48" s="31"/>
      <c r="H48" s="30"/>
      <c r="I48" s="31"/>
      <c r="J48" s="28"/>
      <c r="K48" s="25" t="str">
        <f t="shared" si="1"/>
        <v/>
      </c>
      <c r="L48" s="25" t="str">
        <f t="shared" si="2"/>
        <v/>
      </c>
    </row>
    <row r="49" ht="15.75" customHeight="1">
      <c r="A49" s="28"/>
      <c r="B49" s="28"/>
      <c r="C49" s="29"/>
      <c r="D49" s="30"/>
      <c r="E49" s="30"/>
      <c r="F49" s="30"/>
      <c r="G49" s="31"/>
      <c r="H49" s="30"/>
      <c r="I49" s="31"/>
      <c r="J49" s="28"/>
      <c r="K49" s="25" t="str">
        <f t="shared" si="1"/>
        <v/>
      </c>
      <c r="L49" s="25" t="str">
        <f t="shared" si="2"/>
        <v/>
      </c>
    </row>
    <row r="50" ht="15.75" customHeight="1">
      <c r="A50" s="28"/>
      <c r="B50" s="28"/>
      <c r="C50" s="29"/>
      <c r="D50" s="30"/>
      <c r="E50" s="30"/>
      <c r="F50" s="30"/>
      <c r="G50" s="31"/>
      <c r="H50" s="30"/>
      <c r="I50" s="31"/>
      <c r="J50" s="28"/>
      <c r="K50" s="25" t="str">
        <f t="shared" si="1"/>
        <v/>
      </c>
      <c r="L50" s="25" t="str">
        <f t="shared" si="2"/>
        <v/>
      </c>
    </row>
    <row r="51" ht="15.75" customHeight="1">
      <c r="A51" s="28"/>
      <c r="B51" s="28"/>
      <c r="C51" s="29"/>
      <c r="D51" s="30"/>
      <c r="E51" s="30"/>
      <c r="F51" s="30"/>
      <c r="G51" s="31"/>
      <c r="H51" s="30"/>
      <c r="I51" s="31"/>
      <c r="J51" s="28"/>
      <c r="K51" s="25" t="str">
        <f t="shared" si="1"/>
        <v/>
      </c>
      <c r="L51" s="25" t="str">
        <f t="shared" si="2"/>
        <v/>
      </c>
    </row>
    <row r="52" ht="15.75" customHeight="1">
      <c r="A52" s="28"/>
      <c r="B52" s="28"/>
      <c r="C52" s="29"/>
      <c r="D52" s="30"/>
      <c r="E52" s="30"/>
      <c r="F52" s="30"/>
      <c r="G52" s="31"/>
      <c r="H52" s="30"/>
      <c r="I52" s="31"/>
      <c r="J52" s="28"/>
      <c r="K52" s="25" t="str">
        <f t="shared" si="1"/>
        <v/>
      </c>
      <c r="L52" s="25" t="str">
        <f t="shared" si="2"/>
        <v/>
      </c>
    </row>
    <row r="53" ht="15.75" customHeight="1">
      <c r="A53" s="28"/>
      <c r="B53" s="28"/>
      <c r="C53" s="29"/>
      <c r="D53" s="30"/>
      <c r="E53" s="30"/>
      <c r="F53" s="30"/>
      <c r="G53" s="31"/>
      <c r="H53" s="30"/>
      <c r="I53" s="31"/>
      <c r="J53" s="28"/>
      <c r="K53" s="25" t="str">
        <f t="shared" si="1"/>
        <v/>
      </c>
      <c r="L53" s="25" t="str">
        <f t="shared" si="2"/>
        <v/>
      </c>
    </row>
    <row r="54" ht="15.75" customHeight="1">
      <c r="A54" s="28"/>
      <c r="B54" s="28"/>
      <c r="C54" s="29"/>
      <c r="D54" s="30"/>
      <c r="E54" s="30"/>
      <c r="F54" s="30"/>
      <c r="G54" s="31"/>
      <c r="H54" s="30"/>
      <c r="I54" s="31"/>
      <c r="J54" s="28"/>
      <c r="K54" s="25" t="str">
        <f t="shared" si="1"/>
        <v/>
      </c>
      <c r="L54" s="25" t="str">
        <f t="shared" si="2"/>
        <v/>
      </c>
    </row>
    <row r="55" ht="15.75" customHeight="1">
      <c r="A55" s="28"/>
      <c r="B55" s="28"/>
      <c r="C55" s="29"/>
      <c r="D55" s="30"/>
      <c r="E55" s="30"/>
      <c r="F55" s="30"/>
      <c r="G55" s="31"/>
      <c r="H55" s="30"/>
      <c r="I55" s="31"/>
      <c r="J55" s="28"/>
      <c r="K55" s="25" t="str">
        <f t="shared" si="1"/>
        <v/>
      </c>
      <c r="L55" s="25" t="str">
        <f t="shared" si="2"/>
        <v/>
      </c>
    </row>
    <row r="56" ht="15.75" customHeight="1">
      <c r="A56" s="28"/>
      <c r="B56" s="28"/>
      <c r="C56" s="29"/>
      <c r="D56" s="30"/>
      <c r="E56" s="30"/>
      <c r="F56" s="30"/>
      <c r="G56" s="31"/>
      <c r="H56" s="30"/>
      <c r="I56" s="31"/>
      <c r="J56" s="28"/>
      <c r="K56" s="25" t="str">
        <f t="shared" si="1"/>
        <v/>
      </c>
      <c r="L56" s="25" t="str">
        <f t="shared" si="2"/>
        <v/>
      </c>
    </row>
    <row r="57" ht="15.75" customHeight="1">
      <c r="A57" s="28"/>
      <c r="B57" s="28"/>
      <c r="C57" s="29"/>
      <c r="D57" s="30"/>
      <c r="E57" s="30"/>
      <c r="F57" s="30"/>
      <c r="G57" s="31"/>
      <c r="H57" s="30"/>
      <c r="I57" s="31"/>
      <c r="J57" s="28"/>
      <c r="K57" s="25" t="str">
        <f t="shared" si="1"/>
        <v/>
      </c>
      <c r="L57" s="25" t="str">
        <f t="shared" si="2"/>
        <v/>
      </c>
    </row>
    <row r="58" ht="15.75" customHeight="1">
      <c r="A58" s="28"/>
      <c r="B58" s="28"/>
      <c r="C58" s="29"/>
      <c r="D58" s="30"/>
      <c r="E58" s="30"/>
      <c r="F58" s="30"/>
      <c r="G58" s="31"/>
      <c r="H58" s="30"/>
      <c r="I58" s="31"/>
      <c r="J58" s="28"/>
      <c r="K58" s="25" t="str">
        <f t="shared" si="1"/>
        <v/>
      </c>
      <c r="L58" s="25" t="str">
        <f t="shared" si="2"/>
        <v/>
      </c>
    </row>
    <row r="59" ht="15.75" customHeight="1">
      <c r="A59" s="28"/>
      <c r="B59" s="28"/>
      <c r="C59" s="29"/>
      <c r="D59" s="30"/>
      <c r="E59" s="30"/>
      <c r="F59" s="30"/>
      <c r="G59" s="31"/>
      <c r="H59" s="30"/>
      <c r="I59" s="31"/>
      <c r="J59" s="28"/>
      <c r="K59" s="25" t="str">
        <f t="shared" si="1"/>
        <v/>
      </c>
      <c r="L59" s="25" t="str">
        <f t="shared" si="2"/>
        <v/>
      </c>
    </row>
    <row r="60" ht="15.75" customHeight="1">
      <c r="A60" s="28"/>
      <c r="B60" s="28"/>
      <c r="C60" s="29"/>
      <c r="D60" s="30"/>
      <c r="E60" s="30"/>
      <c r="F60" s="30"/>
      <c r="G60" s="31"/>
      <c r="H60" s="30"/>
      <c r="I60" s="31"/>
      <c r="J60" s="28"/>
      <c r="K60" s="25" t="str">
        <f t="shared" si="1"/>
        <v/>
      </c>
      <c r="L60" s="25" t="str">
        <f t="shared" si="2"/>
        <v/>
      </c>
    </row>
    <row r="61" ht="15.75" customHeight="1">
      <c r="A61" s="28"/>
      <c r="B61" s="28"/>
      <c r="C61" s="29"/>
      <c r="D61" s="30"/>
      <c r="E61" s="30"/>
      <c r="F61" s="30"/>
      <c r="G61" s="31"/>
      <c r="H61" s="30"/>
      <c r="I61" s="31"/>
      <c r="J61" s="28"/>
      <c r="K61" s="25" t="str">
        <f t="shared" si="1"/>
        <v/>
      </c>
      <c r="L61" s="25" t="str">
        <f t="shared" si="2"/>
        <v/>
      </c>
    </row>
    <row r="62" ht="15.75" customHeight="1">
      <c r="A62" s="28"/>
      <c r="B62" s="28"/>
      <c r="C62" s="29"/>
      <c r="D62" s="30"/>
      <c r="E62" s="30"/>
      <c r="F62" s="30"/>
      <c r="G62" s="31"/>
      <c r="H62" s="30"/>
      <c r="I62" s="31"/>
      <c r="J62" s="28"/>
      <c r="K62" s="25" t="str">
        <f t="shared" si="1"/>
        <v/>
      </c>
      <c r="L62" s="25" t="str">
        <f t="shared" si="2"/>
        <v/>
      </c>
    </row>
    <row r="63" ht="15.75" customHeight="1">
      <c r="A63" s="28"/>
      <c r="B63" s="28"/>
      <c r="C63" s="29"/>
      <c r="D63" s="30"/>
      <c r="E63" s="30"/>
      <c r="F63" s="30"/>
      <c r="G63" s="31"/>
      <c r="H63" s="30"/>
      <c r="I63" s="31"/>
      <c r="J63" s="28"/>
      <c r="K63" s="25" t="str">
        <f t="shared" si="1"/>
        <v/>
      </c>
      <c r="L63" s="25" t="str">
        <f t="shared" si="2"/>
        <v/>
      </c>
    </row>
    <row r="64" ht="15.75" customHeight="1">
      <c r="A64" s="28"/>
      <c r="B64" s="28"/>
      <c r="C64" s="29"/>
      <c r="D64" s="30"/>
      <c r="E64" s="30"/>
      <c r="F64" s="30"/>
      <c r="G64" s="31"/>
      <c r="H64" s="30"/>
      <c r="I64" s="31"/>
      <c r="J64" s="28"/>
      <c r="K64" s="25" t="str">
        <f t="shared" si="1"/>
        <v/>
      </c>
      <c r="L64" s="25" t="str">
        <f t="shared" si="2"/>
        <v/>
      </c>
    </row>
    <row r="65" ht="15.75" customHeight="1">
      <c r="A65" s="28"/>
      <c r="B65" s="28"/>
      <c r="C65" s="29"/>
      <c r="D65" s="30"/>
      <c r="E65" s="30"/>
      <c r="F65" s="30"/>
      <c r="G65" s="31"/>
      <c r="H65" s="30"/>
      <c r="I65" s="31"/>
      <c r="J65" s="28"/>
      <c r="K65" s="25" t="str">
        <f t="shared" si="1"/>
        <v/>
      </c>
      <c r="L65" s="25" t="str">
        <f t="shared" si="2"/>
        <v/>
      </c>
    </row>
    <row r="66" ht="15.75" customHeight="1">
      <c r="A66" s="28"/>
      <c r="B66" s="28"/>
      <c r="C66" s="29"/>
      <c r="D66" s="30"/>
      <c r="E66" s="30"/>
      <c r="F66" s="30"/>
      <c r="G66" s="31"/>
      <c r="H66" s="30"/>
      <c r="I66" s="31"/>
      <c r="J66" s="28"/>
      <c r="K66" s="25" t="str">
        <f t="shared" si="1"/>
        <v/>
      </c>
      <c r="L66" s="25" t="str">
        <f t="shared" si="2"/>
        <v/>
      </c>
    </row>
    <row r="67" ht="15.75" customHeight="1">
      <c r="A67" s="28"/>
      <c r="B67" s="28"/>
      <c r="C67" s="29"/>
      <c r="D67" s="30"/>
      <c r="E67" s="30"/>
      <c r="F67" s="30"/>
      <c r="G67" s="31"/>
      <c r="H67" s="30"/>
      <c r="I67" s="31"/>
      <c r="J67" s="28"/>
      <c r="K67" s="25" t="str">
        <f t="shared" si="1"/>
        <v/>
      </c>
      <c r="L67" s="25" t="str">
        <f t="shared" si="2"/>
        <v/>
      </c>
    </row>
    <row r="68" ht="15.75" customHeight="1">
      <c r="A68" s="28"/>
      <c r="B68" s="28"/>
      <c r="C68" s="29"/>
      <c r="D68" s="30"/>
      <c r="E68" s="30"/>
      <c r="F68" s="30"/>
      <c r="G68" s="31"/>
      <c r="H68" s="30"/>
      <c r="I68" s="31"/>
      <c r="J68" s="28"/>
      <c r="K68" s="25" t="str">
        <f t="shared" si="1"/>
        <v/>
      </c>
      <c r="L68" s="25" t="str">
        <f t="shared" si="2"/>
        <v/>
      </c>
    </row>
    <row r="69" ht="15.75" customHeight="1">
      <c r="A69" s="28"/>
      <c r="B69" s="28"/>
      <c r="C69" s="29"/>
      <c r="D69" s="30"/>
      <c r="E69" s="30"/>
      <c r="F69" s="30"/>
      <c r="G69" s="31"/>
      <c r="H69" s="30"/>
      <c r="I69" s="31"/>
      <c r="J69" s="28"/>
      <c r="K69" s="25" t="str">
        <f t="shared" si="1"/>
        <v/>
      </c>
      <c r="L69" s="25" t="str">
        <f t="shared" si="2"/>
        <v/>
      </c>
    </row>
    <row r="70" ht="15.75" customHeight="1">
      <c r="A70" s="28"/>
      <c r="B70" s="28"/>
      <c r="C70" s="29"/>
      <c r="D70" s="30"/>
      <c r="E70" s="30"/>
      <c r="F70" s="30"/>
      <c r="G70" s="31"/>
      <c r="H70" s="30"/>
      <c r="I70" s="31"/>
      <c r="J70" s="28"/>
      <c r="K70" s="25" t="str">
        <f t="shared" si="1"/>
        <v/>
      </c>
      <c r="L70" s="25" t="str">
        <f t="shared" si="2"/>
        <v/>
      </c>
    </row>
    <row r="71" ht="15.75" customHeight="1">
      <c r="A71" s="28"/>
      <c r="B71" s="28"/>
      <c r="C71" s="29"/>
      <c r="D71" s="30"/>
      <c r="E71" s="30"/>
      <c r="F71" s="30"/>
      <c r="G71" s="31"/>
      <c r="H71" s="30"/>
      <c r="I71" s="31"/>
      <c r="J71" s="28"/>
      <c r="K71" s="25" t="str">
        <f t="shared" si="1"/>
        <v/>
      </c>
      <c r="L71" s="25" t="str">
        <f t="shared" si="2"/>
        <v/>
      </c>
    </row>
    <row r="72" ht="15.75" customHeight="1">
      <c r="A72" s="28"/>
      <c r="B72" s="28"/>
      <c r="C72" s="29"/>
      <c r="D72" s="30"/>
      <c r="E72" s="30"/>
      <c r="F72" s="30"/>
      <c r="G72" s="31"/>
      <c r="H72" s="30"/>
      <c r="I72" s="31"/>
      <c r="J72" s="28"/>
      <c r="K72" s="25" t="str">
        <f t="shared" si="1"/>
        <v/>
      </c>
      <c r="L72" s="25" t="str">
        <f t="shared" si="2"/>
        <v/>
      </c>
    </row>
    <row r="73" ht="15.75" customHeight="1">
      <c r="A73" s="28"/>
      <c r="B73" s="28"/>
      <c r="C73" s="29"/>
      <c r="D73" s="30"/>
      <c r="E73" s="30"/>
      <c r="F73" s="30"/>
      <c r="G73" s="31"/>
      <c r="H73" s="30"/>
      <c r="I73" s="31"/>
      <c r="J73" s="28"/>
      <c r="K73" s="25" t="str">
        <f t="shared" si="1"/>
        <v/>
      </c>
      <c r="L73" s="25" t="str">
        <f t="shared" si="2"/>
        <v/>
      </c>
    </row>
    <row r="74" ht="15.75" customHeight="1">
      <c r="A74" s="28"/>
      <c r="B74" s="28"/>
      <c r="C74" s="29"/>
      <c r="D74" s="30"/>
      <c r="E74" s="30"/>
      <c r="F74" s="30"/>
      <c r="G74" s="31"/>
      <c r="H74" s="30"/>
      <c r="I74" s="31"/>
      <c r="J74" s="28"/>
      <c r="K74" s="25" t="str">
        <f t="shared" si="1"/>
        <v/>
      </c>
      <c r="L74" s="25" t="str">
        <f t="shared" si="2"/>
        <v/>
      </c>
    </row>
    <row r="75" ht="15.75" customHeight="1">
      <c r="A75" s="28"/>
      <c r="B75" s="28"/>
      <c r="C75" s="29"/>
      <c r="D75" s="30"/>
      <c r="E75" s="30"/>
      <c r="F75" s="30"/>
      <c r="G75" s="31"/>
      <c r="H75" s="30"/>
      <c r="I75" s="31"/>
      <c r="J75" s="28"/>
      <c r="K75" s="25" t="str">
        <f t="shared" si="1"/>
        <v/>
      </c>
      <c r="L75" s="25" t="str">
        <f t="shared" si="2"/>
        <v/>
      </c>
    </row>
    <row r="76" ht="15.75" customHeight="1">
      <c r="A76" s="28"/>
      <c r="B76" s="28"/>
      <c r="C76" s="29"/>
      <c r="D76" s="30"/>
      <c r="E76" s="30"/>
      <c r="F76" s="30"/>
      <c r="G76" s="31"/>
      <c r="H76" s="30"/>
      <c r="I76" s="31"/>
      <c r="J76" s="28"/>
      <c r="K76" s="25" t="str">
        <f t="shared" si="1"/>
        <v/>
      </c>
      <c r="L76" s="25" t="str">
        <f t="shared" si="2"/>
        <v/>
      </c>
    </row>
    <row r="77" ht="15.75" customHeight="1">
      <c r="A77" s="28"/>
      <c r="B77" s="28"/>
      <c r="C77" s="29"/>
      <c r="D77" s="30"/>
      <c r="E77" s="30"/>
      <c r="F77" s="30"/>
      <c r="G77" s="31"/>
      <c r="H77" s="30"/>
      <c r="I77" s="31"/>
      <c r="J77" s="28"/>
      <c r="K77" s="25" t="str">
        <f t="shared" si="1"/>
        <v/>
      </c>
      <c r="L77" s="25" t="str">
        <f t="shared" si="2"/>
        <v/>
      </c>
    </row>
    <row r="78" ht="15.75" customHeight="1">
      <c r="A78" s="28"/>
      <c r="B78" s="28"/>
      <c r="C78" s="29"/>
      <c r="D78" s="30"/>
      <c r="E78" s="30"/>
      <c r="F78" s="30"/>
      <c r="G78" s="31"/>
      <c r="H78" s="30"/>
      <c r="I78" s="31"/>
      <c r="J78" s="28"/>
      <c r="K78" s="25" t="str">
        <f t="shared" si="1"/>
        <v/>
      </c>
      <c r="L78" s="25" t="str">
        <f t="shared" si="2"/>
        <v/>
      </c>
    </row>
    <row r="79" ht="15.75" customHeight="1">
      <c r="A79" s="28"/>
      <c r="B79" s="28"/>
      <c r="C79" s="29"/>
      <c r="D79" s="30"/>
      <c r="E79" s="30"/>
      <c r="F79" s="30"/>
      <c r="G79" s="31"/>
      <c r="H79" s="30"/>
      <c r="I79" s="31"/>
      <c r="J79" s="28"/>
      <c r="K79" s="25" t="str">
        <f t="shared" si="1"/>
        <v/>
      </c>
      <c r="L79" s="25" t="str">
        <f t="shared" si="2"/>
        <v/>
      </c>
    </row>
    <row r="80" ht="15.75" customHeight="1">
      <c r="A80" s="28"/>
      <c r="B80" s="28"/>
      <c r="C80" s="29"/>
      <c r="D80" s="30"/>
      <c r="E80" s="30"/>
      <c r="F80" s="30"/>
      <c r="G80" s="31"/>
      <c r="H80" s="30"/>
      <c r="I80" s="31"/>
      <c r="J80" s="28"/>
      <c r="K80" s="25" t="str">
        <f t="shared" si="1"/>
        <v/>
      </c>
      <c r="L80" s="25" t="str">
        <f t="shared" si="2"/>
        <v/>
      </c>
    </row>
    <row r="81" ht="15.75" customHeight="1">
      <c r="A81" s="28"/>
      <c r="B81" s="28"/>
      <c r="C81" s="29"/>
      <c r="D81" s="30"/>
      <c r="E81" s="30"/>
      <c r="F81" s="30"/>
      <c r="G81" s="31"/>
      <c r="H81" s="30"/>
      <c r="I81" s="31"/>
      <c r="J81" s="28"/>
      <c r="K81" s="25" t="str">
        <f t="shared" si="1"/>
        <v/>
      </c>
      <c r="L81" s="25" t="str">
        <f t="shared" si="2"/>
        <v/>
      </c>
    </row>
    <row r="82" ht="15.75" customHeight="1">
      <c r="A82" s="28"/>
      <c r="B82" s="28"/>
      <c r="C82" s="29"/>
      <c r="D82" s="30"/>
      <c r="E82" s="30"/>
      <c r="F82" s="30"/>
      <c r="G82" s="31"/>
      <c r="H82" s="30"/>
      <c r="I82" s="31"/>
      <c r="J82" s="28"/>
      <c r="K82" s="25" t="str">
        <f t="shared" si="1"/>
        <v/>
      </c>
      <c r="L82" s="25" t="str">
        <f t="shared" si="2"/>
        <v/>
      </c>
    </row>
    <row r="83" ht="15.75" customHeight="1">
      <c r="A83" s="28"/>
      <c r="B83" s="28"/>
      <c r="C83" s="29"/>
      <c r="D83" s="30"/>
      <c r="E83" s="30"/>
      <c r="F83" s="30"/>
      <c r="G83" s="31"/>
      <c r="H83" s="30"/>
      <c r="I83" s="31"/>
      <c r="J83" s="28"/>
      <c r="K83" s="25" t="str">
        <f t="shared" si="1"/>
        <v/>
      </c>
      <c r="L83" s="25" t="str">
        <f t="shared" si="2"/>
        <v/>
      </c>
    </row>
    <row r="84" ht="15.75" customHeight="1">
      <c r="A84" s="28"/>
      <c r="B84" s="28"/>
      <c r="C84" s="29"/>
      <c r="D84" s="30"/>
      <c r="E84" s="30"/>
      <c r="F84" s="30"/>
      <c r="G84" s="31"/>
      <c r="H84" s="30"/>
      <c r="I84" s="31"/>
      <c r="J84" s="28"/>
      <c r="K84" s="25" t="str">
        <f t="shared" si="1"/>
        <v/>
      </c>
      <c r="L84" s="25" t="str">
        <f t="shared" si="2"/>
        <v/>
      </c>
    </row>
    <row r="85" ht="15.75" customHeight="1">
      <c r="A85" s="28"/>
      <c r="B85" s="28"/>
      <c r="C85" s="29"/>
      <c r="D85" s="30"/>
      <c r="E85" s="30"/>
      <c r="F85" s="30"/>
      <c r="G85" s="31"/>
      <c r="H85" s="30"/>
      <c r="I85" s="31"/>
      <c r="J85" s="28"/>
      <c r="K85" s="25" t="str">
        <f t="shared" si="1"/>
        <v/>
      </c>
      <c r="L85" s="25" t="str">
        <f t="shared" si="2"/>
        <v/>
      </c>
    </row>
    <row r="86" ht="15.75" customHeight="1">
      <c r="A86" s="28"/>
      <c r="B86" s="28"/>
      <c r="C86" s="29"/>
      <c r="D86" s="30"/>
      <c r="E86" s="30"/>
      <c r="F86" s="30"/>
      <c r="G86" s="31"/>
      <c r="H86" s="30"/>
      <c r="I86" s="31"/>
      <c r="J86" s="28"/>
      <c r="K86" s="25" t="str">
        <f t="shared" si="1"/>
        <v/>
      </c>
      <c r="L86" s="25" t="str">
        <f t="shared" si="2"/>
        <v/>
      </c>
    </row>
    <row r="87" ht="15.75" customHeight="1">
      <c r="A87" s="28"/>
      <c r="B87" s="28"/>
      <c r="C87" s="29"/>
      <c r="D87" s="30"/>
      <c r="E87" s="30"/>
      <c r="F87" s="30"/>
      <c r="G87" s="31"/>
      <c r="H87" s="30"/>
      <c r="I87" s="31"/>
      <c r="J87" s="28"/>
      <c r="K87" s="25" t="str">
        <f t="shared" si="1"/>
        <v/>
      </c>
      <c r="L87" s="25" t="str">
        <f t="shared" si="2"/>
        <v/>
      </c>
    </row>
    <row r="88" ht="15.75" customHeight="1">
      <c r="A88" s="28"/>
      <c r="B88" s="28"/>
      <c r="C88" s="29"/>
      <c r="D88" s="30"/>
      <c r="E88" s="30"/>
      <c r="F88" s="30"/>
      <c r="G88" s="31"/>
      <c r="H88" s="30"/>
      <c r="I88" s="31"/>
      <c r="J88" s="28"/>
      <c r="K88" s="25" t="str">
        <f t="shared" si="1"/>
        <v/>
      </c>
      <c r="L88" s="25" t="str">
        <f t="shared" si="2"/>
        <v/>
      </c>
    </row>
    <row r="89" ht="15.75" customHeight="1">
      <c r="A89" s="28"/>
      <c r="B89" s="28"/>
      <c r="C89" s="29"/>
      <c r="D89" s="30"/>
      <c r="E89" s="30"/>
      <c r="F89" s="30"/>
      <c r="G89" s="31"/>
      <c r="H89" s="30"/>
      <c r="I89" s="31"/>
      <c r="J89" s="28"/>
      <c r="K89" s="25" t="str">
        <f t="shared" si="1"/>
        <v/>
      </c>
      <c r="L89" s="25" t="str">
        <f t="shared" si="2"/>
        <v/>
      </c>
    </row>
    <row r="90" ht="15.75" customHeight="1">
      <c r="A90" s="28"/>
      <c r="B90" s="28"/>
      <c r="C90" s="29"/>
      <c r="D90" s="30"/>
      <c r="E90" s="30"/>
      <c r="F90" s="30"/>
      <c r="G90" s="31"/>
      <c r="H90" s="30"/>
      <c r="I90" s="31"/>
      <c r="J90" s="28"/>
      <c r="K90" s="25" t="str">
        <f t="shared" si="1"/>
        <v/>
      </c>
      <c r="L90" s="25" t="str">
        <f t="shared" si="2"/>
        <v/>
      </c>
    </row>
    <row r="91" ht="15.75" customHeight="1">
      <c r="A91" s="28"/>
      <c r="B91" s="28"/>
      <c r="C91" s="29"/>
      <c r="D91" s="30"/>
      <c r="E91" s="30"/>
      <c r="F91" s="30"/>
      <c r="G91" s="31"/>
      <c r="H91" s="30"/>
      <c r="I91" s="31"/>
      <c r="J91" s="28"/>
      <c r="K91" s="25" t="str">
        <f t="shared" si="1"/>
        <v/>
      </c>
      <c r="L91" s="25" t="str">
        <f t="shared" si="2"/>
        <v/>
      </c>
    </row>
    <row r="92" ht="15.75" customHeight="1">
      <c r="A92" s="28"/>
      <c r="B92" s="28"/>
      <c r="C92" s="29"/>
      <c r="D92" s="30"/>
      <c r="E92" s="30"/>
      <c r="F92" s="30"/>
      <c r="G92" s="31"/>
      <c r="H92" s="30"/>
      <c r="I92" s="31"/>
      <c r="J92" s="28"/>
      <c r="K92" s="25" t="str">
        <f t="shared" si="1"/>
        <v/>
      </c>
      <c r="L92" s="25" t="str">
        <f t="shared" si="2"/>
        <v/>
      </c>
    </row>
    <row r="93" ht="15.75" customHeight="1">
      <c r="A93" s="28"/>
      <c r="B93" s="28"/>
      <c r="C93" s="29"/>
      <c r="D93" s="30"/>
      <c r="E93" s="30"/>
      <c r="F93" s="30"/>
      <c r="G93" s="31"/>
      <c r="H93" s="30"/>
      <c r="I93" s="31"/>
      <c r="J93" s="28"/>
      <c r="K93" s="25" t="str">
        <f t="shared" si="1"/>
        <v/>
      </c>
      <c r="L93" s="25" t="str">
        <f t="shared" si="2"/>
        <v/>
      </c>
    </row>
    <row r="94" ht="15.75" customHeight="1">
      <c r="A94" s="28"/>
      <c r="B94" s="28"/>
      <c r="C94" s="29"/>
      <c r="D94" s="30"/>
      <c r="E94" s="30"/>
      <c r="F94" s="30"/>
      <c r="G94" s="31"/>
      <c r="H94" s="30"/>
      <c r="I94" s="31"/>
      <c r="J94" s="28"/>
      <c r="K94" s="25" t="str">
        <f t="shared" si="1"/>
        <v/>
      </c>
      <c r="L94" s="25" t="str">
        <f t="shared" si="2"/>
        <v/>
      </c>
    </row>
    <row r="95" ht="15.75" customHeight="1">
      <c r="A95" s="28"/>
      <c r="B95" s="28"/>
      <c r="C95" s="29"/>
      <c r="D95" s="30"/>
      <c r="E95" s="30"/>
      <c r="F95" s="30"/>
      <c r="G95" s="31"/>
      <c r="H95" s="30"/>
      <c r="I95" s="31"/>
      <c r="J95" s="28"/>
      <c r="K95" s="25" t="str">
        <f t="shared" si="1"/>
        <v/>
      </c>
      <c r="L95" s="25" t="str">
        <f t="shared" si="2"/>
        <v/>
      </c>
    </row>
    <row r="96" ht="15.75" customHeight="1">
      <c r="A96" s="28"/>
      <c r="B96" s="28"/>
      <c r="C96" s="29"/>
      <c r="D96" s="30"/>
      <c r="E96" s="30"/>
      <c r="F96" s="30"/>
      <c r="G96" s="31"/>
      <c r="H96" s="30"/>
      <c r="I96" s="31"/>
      <c r="J96" s="28"/>
      <c r="K96" s="25" t="str">
        <f t="shared" si="1"/>
        <v/>
      </c>
      <c r="L96" s="25" t="str">
        <f t="shared" si="2"/>
        <v/>
      </c>
    </row>
    <row r="97" ht="15.75" customHeight="1">
      <c r="A97" s="28"/>
      <c r="B97" s="28"/>
      <c r="C97" s="29"/>
      <c r="D97" s="30"/>
      <c r="E97" s="30"/>
      <c r="F97" s="30"/>
      <c r="G97" s="31"/>
      <c r="H97" s="30"/>
      <c r="I97" s="31"/>
      <c r="J97" s="28"/>
      <c r="K97" s="25" t="str">
        <f t="shared" si="1"/>
        <v/>
      </c>
      <c r="L97" s="25" t="str">
        <f t="shared" si="2"/>
        <v/>
      </c>
    </row>
    <row r="98" ht="15.75" customHeight="1">
      <c r="A98" s="28"/>
      <c r="B98" s="28"/>
      <c r="C98" s="29"/>
      <c r="D98" s="30"/>
      <c r="E98" s="30"/>
      <c r="F98" s="30"/>
      <c r="G98" s="31"/>
      <c r="H98" s="30"/>
      <c r="I98" s="31"/>
      <c r="J98" s="28"/>
      <c r="K98" s="25" t="str">
        <f t="shared" si="1"/>
        <v/>
      </c>
      <c r="L98" s="25" t="str">
        <f t="shared" si="2"/>
        <v/>
      </c>
    </row>
    <row r="99" ht="15.75" customHeight="1">
      <c r="A99" s="28"/>
      <c r="B99" s="28"/>
      <c r="C99" s="29"/>
      <c r="D99" s="30"/>
      <c r="E99" s="30"/>
      <c r="F99" s="30"/>
      <c r="G99" s="31"/>
      <c r="H99" s="30"/>
      <c r="I99" s="31"/>
      <c r="J99" s="28"/>
      <c r="K99" s="25" t="str">
        <f t="shared" si="1"/>
        <v/>
      </c>
      <c r="L99" s="25" t="str">
        <f t="shared" si="2"/>
        <v/>
      </c>
    </row>
    <row r="100" ht="15.75" customHeight="1">
      <c r="A100" s="28"/>
      <c r="B100" s="28"/>
      <c r="C100" s="29"/>
      <c r="D100" s="30"/>
      <c r="E100" s="30"/>
      <c r="F100" s="30"/>
      <c r="G100" s="31"/>
      <c r="H100" s="30"/>
      <c r="I100" s="31"/>
      <c r="J100" s="28"/>
      <c r="K100" s="25" t="str">
        <f t="shared" si="1"/>
        <v/>
      </c>
      <c r="L100" s="25" t="str">
        <f t="shared" si="2"/>
        <v/>
      </c>
    </row>
    <row r="101" ht="15.75" customHeight="1">
      <c r="A101" s="28"/>
      <c r="B101" s="28"/>
      <c r="C101" s="29"/>
      <c r="D101" s="30"/>
      <c r="E101" s="30"/>
      <c r="F101" s="30"/>
      <c r="G101" s="31"/>
      <c r="H101" s="30"/>
      <c r="I101" s="31"/>
      <c r="J101" s="28"/>
      <c r="K101" s="25" t="str">
        <f t="shared" si="1"/>
        <v/>
      </c>
      <c r="L101" s="25" t="str">
        <f t="shared" si="2"/>
        <v/>
      </c>
    </row>
    <row r="102" ht="15.75" customHeight="1">
      <c r="A102" s="28"/>
      <c r="B102" s="28"/>
      <c r="C102" s="29"/>
      <c r="D102" s="30"/>
      <c r="E102" s="30"/>
      <c r="F102" s="30"/>
      <c r="G102" s="31"/>
      <c r="H102" s="30"/>
      <c r="I102" s="31"/>
      <c r="J102" s="28"/>
      <c r="K102" s="25" t="str">
        <f t="shared" si="1"/>
        <v/>
      </c>
      <c r="L102" s="25" t="str">
        <f t="shared" si="2"/>
        <v/>
      </c>
    </row>
    <row r="103" ht="15.75" customHeight="1">
      <c r="A103" s="28"/>
      <c r="B103" s="28"/>
      <c r="C103" s="29"/>
      <c r="D103" s="30"/>
      <c r="E103" s="30"/>
      <c r="F103" s="30"/>
      <c r="G103" s="31"/>
      <c r="H103" s="30"/>
      <c r="I103" s="31"/>
      <c r="J103" s="28"/>
      <c r="K103" s="25" t="str">
        <f t="shared" si="1"/>
        <v/>
      </c>
      <c r="L103" s="25" t="str">
        <f t="shared" si="2"/>
        <v/>
      </c>
    </row>
    <row r="104" ht="15.75" customHeight="1">
      <c r="A104" s="28"/>
      <c r="B104" s="28"/>
      <c r="C104" s="29"/>
      <c r="D104" s="30"/>
      <c r="E104" s="30"/>
      <c r="F104" s="30"/>
      <c r="G104" s="31"/>
      <c r="H104" s="30"/>
      <c r="I104" s="31"/>
      <c r="J104" s="28"/>
      <c r="K104" s="25" t="str">
        <f t="shared" si="1"/>
        <v/>
      </c>
      <c r="L104" s="25" t="str">
        <f t="shared" si="2"/>
        <v/>
      </c>
    </row>
    <row r="105" ht="15.75" customHeight="1">
      <c r="A105" s="28"/>
      <c r="B105" s="28"/>
      <c r="C105" s="29"/>
      <c r="D105" s="30"/>
      <c r="E105" s="30"/>
      <c r="F105" s="30"/>
      <c r="G105" s="31"/>
      <c r="H105" s="30"/>
      <c r="I105" s="31"/>
      <c r="J105" s="28"/>
      <c r="K105" s="25" t="str">
        <f t="shared" si="1"/>
        <v/>
      </c>
      <c r="L105" s="25" t="str">
        <f t="shared" si="2"/>
        <v/>
      </c>
    </row>
    <row r="106" ht="15.75" customHeight="1">
      <c r="A106" s="28"/>
      <c r="B106" s="28"/>
      <c r="C106" s="29"/>
      <c r="D106" s="30"/>
      <c r="E106" s="30"/>
      <c r="F106" s="30"/>
      <c r="G106" s="31"/>
      <c r="H106" s="30"/>
      <c r="I106" s="31"/>
      <c r="J106" s="28"/>
      <c r="K106" s="25" t="str">
        <f t="shared" si="1"/>
        <v/>
      </c>
      <c r="L106" s="25" t="str">
        <f t="shared" si="2"/>
        <v/>
      </c>
    </row>
    <row r="107" ht="15.75" customHeight="1">
      <c r="A107" s="28"/>
      <c r="B107" s="28"/>
      <c r="C107" s="29"/>
      <c r="D107" s="30"/>
      <c r="E107" s="30"/>
      <c r="F107" s="30"/>
      <c r="G107" s="31"/>
      <c r="H107" s="30"/>
      <c r="I107" s="31"/>
      <c r="J107" s="28"/>
      <c r="K107" s="25" t="str">
        <f t="shared" si="1"/>
        <v/>
      </c>
      <c r="L107" s="25" t="str">
        <f t="shared" si="2"/>
        <v/>
      </c>
    </row>
    <row r="108" ht="15.75" customHeight="1">
      <c r="A108" s="28"/>
      <c r="B108" s="28"/>
      <c r="C108" s="29"/>
      <c r="D108" s="30"/>
      <c r="E108" s="30"/>
      <c r="F108" s="30"/>
      <c r="G108" s="31"/>
      <c r="H108" s="30"/>
      <c r="I108" s="31"/>
      <c r="J108" s="28"/>
      <c r="K108" s="25" t="str">
        <f t="shared" si="1"/>
        <v/>
      </c>
      <c r="L108" s="25" t="str">
        <f t="shared" si="2"/>
        <v/>
      </c>
    </row>
    <row r="109" ht="15.75" customHeight="1">
      <c r="A109" s="28"/>
      <c r="B109" s="28"/>
      <c r="C109" s="29"/>
      <c r="D109" s="30"/>
      <c r="E109" s="30"/>
      <c r="F109" s="30"/>
      <c r="G109" s="31"/>
      <c r="H109" s="30"/>
      <c r="I109" s="31"/>
      <c r="J109" s="28"/>
      <c r="K109" s="25" t="str">
        <f t="shared" si="1"/>
        <v/>
      </c>
      <c r="L109" s="25" t="str">
        <f t="shared" si="2"/>
        <v/>
      </c>
    </row>
    <row r="110" ht="15.75" customHeight="1">
      <c r="A110" s="28"/>
      <c r="B110" s="28"/>
      <c r="C110" s="29"/>
      <c r="D110" s="30"/>
      <c r="E110" s="30"/>
      <c r="F110" s="30"/>
      <c r="G110" s="31"/>
      <c r="H110" s="30"/>
      <c r="I110" s="31"/>
      <c r="J110" s="28"/>
      <c r="K110" s="25" t="str">
        <f t="shared" si="1"/>
        <v/>
      </c>
      <c r="L110" s="25" t="str">
        <f t="shared" si="2"/>
        <v/>
      </c>
    </row>
    <row r="111" ht="15.75" customHeight="1">
      <c r="A111" s="28"/>
      <c r="B111" s="28"/>
      <c r="C111" s="29"/>
      <c r="D111" s="30"/>
      <c r="E111" s="30"/>
      <c r="F111" s="30"/>
      <c r="G111" s="31"/>
      <c r="H111" s="30"/>
      <c r="I111" s="31"/>
      <c r="J111" s="28"/>
      <c r="K111" s="25" t="str">
        <f t="shared" si="1"/>
        <v/>
      </c>
      <c r="L111" s="25" t="str">
        <f t="shared" si="2"/>
        <v/>
      </c>
    </row>
    <row r="112" ht="15.75" customHeight="1">
      <c r="A112" s="28"/>
      <c r="B112" s="28"/>
      <c r="C112" s="29"/>
      <c r="D112" s="30"/>
      <c r="E112" s="30"/>
      <c r="F112" s="30"/>
      <c r="G112" s="31"/>
      <c r="H112" s="30"/>
      <c r="I112" s="31"/>
      <c r="J112" s="28"/>
      <c r="K112" s="25" t="str">
        <f t="shared" si="1"/>
        <v/>
      </c>
      <c r="L112" s="25" t="str">
        <f t="shared" si="2"/>
        <v/>
      </c>
    </row>
    <row r="113" ht="15.75" customHeight="1">
      <c r="A113" s="28"/>
      <c r="B113" s="28"/>
      <c r="C113" s="29"/>
      <c r="D113" s="30"/>
      <c r="E113" s="30"/>
      <c r="F113" s="30"/>
      <c r="G113" s="31"/>
      <c r="H113" s="30"/>
      <c r="I113" s="31"/>
      <c r="J113" s="28"/>
      <c r="K113" s="25" t="str">
        <f t="shared" si="1"/>
        <v/>
      </c>
      <c r="L113" s="25" t="str">
        <f t="shared" si="2"/>
        <v/>
      </c>
    </row>
    <row r="114" ht="15.75" customHeight="1">
      <c r="A114" s="28"/>
      <c r="B114" s="28"/>
      <c r="C114" s="29"/>
      <c r="D114" s="30"/>
      <c r="E114" s="30"/>
      <c r="F114" s="30"/>
      <c r="G114" s="31"/>
      <c r="H114" s="30"/>
      <c r="I114" s="31"/>
      <c r="J114" s="28"/>
      <c r="K114" s="25" t="str">
        <f t="shared" si="1"/>
        <v/>
      </c>
      <c r="L114" s="25" t="str">
        <f t="shared" si="2"/>
        <v/>
      </c>
    </row>
    <row r="115" ht="15.75" customHeight="1">
      <c r="A115" s="28"/>
      <c r="B115" s="28"/>
      <c r="C115" s="29"/>
      <c r="D115" s="30"/>
      <c r="E115" s="30"/>
      <c r="F115" s="30"/>
      <c r="G115" s="31"/>
      <c r="H115" s="30"/>
      <c r="I115" s="31"/>
      <c r="J115" s="28"/>
      <c r="K115" s="25" t="str">
        <f t="shared" si="1"/>
        <v/>
      </c>
      <c r="L115" s="25" t="str">
        <f t="shared" si="2"/>
        <v/>
      </c>
    </row>
    <row r="116" ht="15.75" customHeight="1">
      <c r="A116" s="28"/>
      <c r="B116" s="28"/>
      <c r="C116" s="29"/>
      <c r="D116" s="30"/>
      <c r="E116" s="30"/>
      <c r="F116" s="30"/>
      <c r="G116" s="31"/>
      <c r="H116" s="30"/>
      <c r="I116" s="31"/>
      <c r="J116" s="28"/>
      <c r="K116" s="25" t="str">
        <f t="shared" si="1"/>
        <v/>
      </c>
      <c r="L116" s="25" t="str">
        <f t="shared" si="2"/>
        <v/>
      </c>
    </row>
    <row r="117" ht="15.75" customHeight="1">
      <c r="A117" s="28"/>
      <c r="B117" s="28"/>
      <c r="C117" s="29"/>
      <c r="D117" s="30"/>
      <c r="E117" s="30"/>
      <c r="F117" s="30"/>
      <c r="G117" s="31"/>
      <c r="H117" s="30"/>
      <c r="I117" s="31"/>
      <c r="J117" s="28"/>
      <c r="K117" s="25" t="str">
        <f t="shared" si="1"/>
        <v/>
      </c>
      <c r="L117" s="25" t="str">
        <f t="shared" si="2"/>
        <v/>
      </c>
    </row>
    <row r="118" ht="15.75" customHeight="1">
      <c r="A118" s="28"/>
      <c r="B118" s="28"/>
      <c r="C118" s="29"/>
      <c r="D118" s="30"/>
      <c r="E118" s="30"/>
      <c r="F118" s="30"/>
      <c r="G118" s="31"/>
      <c r="H118" s="30"/>
      <c r="I118" s="31"/>
      <c r="J118" s="28"/>
      <c r="K118" s="25" t="str">
        <f t="shared" si="1"/>
        <v/>
      </c>
      <c r="L118" s="25" t="str">
        <f t="shared" si="2"/>
        <v/>
      </c>
    </row>
    <row r="119" ht="15.75" customHeight="1">
      <c r="A119" s="28"/>
      <c r="B119" s="28"/>
      <c r="C119" s="29"/>
      <c r="D119" s="30"/>
      <c r="E119" s="30"/>
      <c r="F119" s="30"/>
      <c r="G119" s="31"/>
      <c r="H119" s="30"/>
      <c r="I119" s="31"/>
      <c r="J119" s="28"/>
      <c r="K119" s="25" t="str">
        <f t="shared" si="1"/>
        <v/>
      </c>
      <c r="L119" s="25" t="str">
        <f t="shared" si="2"/>
        <v/>
      </c>
    </row>
    <row r="120" ht="15.75" customHeight="1">
      <c r="A120" s="28"/>
      <c r="B120" s="28"/>
      <c r="C120" s="29"/>
      <c r="D120" s="30"/>
      <c r="E120" s="30"/>
      <c r="F120" s="30"/>
      <c r="G120" s="31"/>
      <c r="H120" s="30"/>
      <c r="I120" s="31"/>
      <c r="J120" s="28"/>
      <c r="K120" s="25" t="str">
        <f t="shared" si="1"/>
        <v/>
      </c>
      <c r="L120" s="25" t="str">
        <f t="shared" si="2"/>
        <v/>
      </c>
    </row>
    <row r="121" ht="15.75" customHeight="1">
      <c r="A121" s="28"/>
      <c r="B121" s="28"/>
      <c r="C121" s="29"/>
      <c r="D121" s="30"/>
      <c r="E121" s="30"/>
      <c r="F121" s="30"/>
      <c r="G121" s="31"/>
      <c r="H121" s="30"/>
      <c r="I121" s="31"/>
      <c r="J121" s="28"/>
      <c r="K121" s="25" t="str">
        <f t="shared" si="1"/>
        <v/>
      </c>
      <c r="L121" s="25" t="str">
        <f t="shared" si="2"/>
        <v/>
      </c>
    </row>
    <row r="122" ht="15.75" customHeight="1">
      <c r="A122" s="28"/>
      <c r="B122" s="28"/>
      <c r="C122" s="29"/>
      <c r="D122" s="30"/>
      <c r="E122" s="30"/>
      <c r="F122" s="30"/>
      <c r="G122" s="31"/>
      <c r="H122" s="30"/>
      <c r="I122" s="31"/>
      <c r="J122" s="28"/>
      <c r="K122" s="25" t="str">
        <f t="shared" si="1"/>
        <v/>
      </c>
      <c r="L122" s="25" t="str">
        <f t="shared" si="2"/>
        <v/>
      </c>
    </row>
    <row r="123" ht="15.75" customHeight="1">
      <c r="A123" s="28"/>
      <c r="B123" s="28"/>
      <c r="C123" s="29"/>
      <c r="D123" s="30"/>
      <c r="E123" s="30"/>
      <c r="F123" s="30"/>
      <c r="G123" s="31"/>
      <c r="H123" s="30"/>
      <c r="I123" s="31"/>
      <c r="J123" s="28"/>
      <c r="K123" s="25" t="str">
        <f t="shared" si="1"/>
        <v/>
      </c>
      <c r="L123" s="25" t="str">
        <f t="shared" si="2"/>
        <v/>
      </c>
    </row>
    <row r="124" ht="15.75" customHeight="1">
      <c r="A124" s="28"/>
      <c r="B124" s="28"/>
      <c r="C124" s="29"/>
      <c r="D124" s="30"/>
      <c r="E124" s="30"/>
      <c r="F124" s="30"/>
      <c r="G124" s="31"/>
      <c r="H124" s="30"/>
      <c r="I124" s="31"/>
      <c r="J124" s="28"/>
      <c r="K124" s="25" t="str">
        <f t="shared" si="1"/>
        <v/>
      </c>
      <c r="L124" s="25" t="str">
        <f t="shared" si="2"/>
        <v/>
      </c>
    </row>
    <row r="125" ht="15.75" customHeight="1">
      <c r="A125" s="28"/>
      <c r="B125" s="28"/>
      <c r="C125" s="29"/>
      <c r="D125" s="30"/>
      <c r="E125" s="30"/>
      <c r="F125" s="30"/>
      <c r="G125" s="31"/>
      <c r="H125" s="30"/>
      <c r="I125" s="31"/>
      <c r="J125" s="28"/>
      <c r="K125" s="25" t="str">
        <f t="shared" si="1"/>
        <v/>
      </c>
      <c r="L125" s="25" t="str">
        <f t="shared" si="2"/>
        <v/>
      </c>
    </row>
    <row r="126" ht="15.75" customHeight="1">
      <c r="A126" s="28"/>
      <c r="B126" s="28"/>
      <c r="C126" s="29"/>
      <c r="D126" s="30"/>
      <c r="E126" s="30"/>
      <c r="F126" s="30"/>
      <c r="G126" s="31"/>
      <c r="H126" s="30"/>
      <c r="I126" s="31"/>
      <c r="J126" s="28"/>
      <c r="K126" s="25" t="str">
        <f t="shared" si="1"/>
        <v/>
      </c>
      <c r="L126" s="25" t="str">
        <f t="shared" si="2"/>
        <v/>
      </c>
    </row>
    <row r="127" ht="15.75" customHeight="1">
      <c r="A127" s="28"/>
      <c r="B127" s="28"/>
      <c r="C127" s="29"/>
      <c r="D127" s="30"/>
      <c r="E127" s="30"/>
      <c r="F127" s="30"/>
      <c r="G127" s="31"/>
      <c r="H127" s="30"/>
      <c r="I127" s="31"/>
      <c r="J127" s="28"/>
      <c r="K127" s="25" t="str">
        <f t="shared" si="1"/>
        <v/>
      </c>
      <c r="L127" s="25" t="str">
        <f t="shared" si="2"/>
        <v/>
      </c>
    </row>
    <row r="128" ht="15.75" customHeight="1">
      <c r="A128" s="28"/>
      <c r="B128" s="28"/>
      <c r="C128" s="29"/>
      <c r="D128" s="30"/>
      <c r="E128" s="30"/>
      <c r="F128" s="30"/>
      <c r="G128" s="31"/>
      <c r="H128" s="30"/>
      <c r="I128" s="31"/>
      <c r="J128" s="28"/>
      <c r="K128" s="25" t="str">
        <f t="shared" si="1"/>
        <v/>
      </c>
      <c r="L128" s="25" t="str">
        <f t="shared" si="2"/>
        <v/>
      </c>
    </row>
    <row r="129" ht="15.75" customHeight="1">
      <c r="A129" s="28"/>
      <c r="B129" s="28"/>
      <c r="C129" s="29"/>
      <c r="D129" s="30"/>
      <c r="E129" s="30"/>
      <c r="F129" s="30"/>
      <c r="G129" s="31"/>
      <c r="H129" s="30"/>
      <c r="I129" s="31"/>
      <c r="J129" s="28"/>
      <c r="K129" s="25" t="str">
        <f t="shared" si="1"/>
        <v/>
      </c>
      <c r="L129" s="25" t="str">
        <f t="shared" si="2"/>
        <v/>
      </c>
    </row>
    <row r="130" ht="15.75" customHeight="1">
      <c r="A130" s="28"/>
      <c r="B130" s="28"/>
      <c r="C130" s="29"/>
      <c r="D130" s="30"/>
      <c r="E130" s="30"/>
      <c r="F130" s="30"/>
      <c r="G130" s="31"/>
      <c r="H130" s="30"/>
      <c r="I130" s="31"/>
      <c r="J130" s="28"/>
      <c r="K130" s="25" t="str">
        <f t="shared" si="1"/>
        <v/>
      </c>
      <c r="L130" s="25" t="str">
        <f t="shared" si="2"/>
        <v/>
      </c>
    </row>
    <row r="131" ht="15.75" customHeight="1">
      <c r="A131" s="28"/>
      <c r="B131" s="28"/>
      <c r="C131" s="29"/>
      <c r="D131" s="30"/>
      <c r="E131" s="30"/>
      <c r="F131" s="30"/>
      <c r="G131" s="31"/>
      <c r="H131" s="30"/>
      <c r="I131" s="31"/>
      <c r="J131" s="28"/>
      <c r="K131" s="25" t="str">
        <f t="shared" si="1"/>
        <v/>
      </c>
      <c r="L131" s="25" t="str">
        <f t="shared" si="2"/>
        <v/>
      </c>
    </row>
    <row r="132" ht="15.75" customHeight="1">
      <c r="A132" s="28"/>
      <c r="B132" s="28"/>
      <c r="C132" s="29"/>
      <c r="D132" s="30"/>
      <c r="E132" s="30"/>
      <c r="F132" s="30"/>
      <c r="G132" s="31"/>
      <c r="H132" s="30"/>
      <c r="I132" s="31"/>
      <c r="J132" s="28"/>
      <c r="K132" s="25" t="str">
        <f t="shared" si="1"/>
        <v/>
      </c>
      <c r="L132" s="25" t="str">
        <f t="shared" si="2"/>
        <v/>
      </c>
    </row>
    <row r="133" ht="15.75" customHeight="1">
      <c r="A133" s="28"/>
      <c r="B133" s="28"/>
      <c r="C133" s="29"/>
      <c r="D133" s="30"/>
      <c r="E133" s="30"/>
      <c r="F133" s="30"/>
      <c r="G133" s="31"/>
      <c r="H133" s="30"/>
      <c r="I133" s="31"/>
      <c r="J133" s="28"/>
      <c r="K133" s="25" t="str">
        <f t="shared" si="1"/>
        <v/>
      </c>
      <c r="L133" s="25" t="str">
        <f t="shared" si="2"/>
        <v/>
      </c>
    </row>
    <row r="134" ht="15.75" customHeight="1">
      <c r="A134" s="28"/>
      <c r="B134" s="28"/>
      <c r="C134" s="29"/>
      <c r="D134" s="30"/>
      <c r="E134" s="30"/>
      <c r="F134" s="30"/>
      <c r="G134" s="31"/>
      <c r="H134" s="30"/>
      <c r="I134" s="31"/>
      <c r="J134" s="28"/>
      <c r="K134" s="25" t="str">
        <f t="shared" si="1"/>
        <v/>
      </c>
      <c r="L134" s="25" t="str">
        <f t="shared" si="2"/>
        <v/>
      </c>
    </row>
    <row r="135" ht="15.75" customHeight="1">
      <c r="A135" s="28"/>
      <c r="B135" s="28"/>
      <c r="C135" s="29"/>
      <c r="D135" s="30"/>
      <c r="E135" s="30"/>
      <c r="F135" s="30"/>
      <c r="G135" s="31"/>
      <c r="H135" s="30"/>
      <c r="I135" s="31"/>
      <c r="J135" s="28"/>
      <c r="K135" s="25" t="str">
        <f t="shared" si="1"/>
        <v/>
      </c>
      <c r="L135" s="25" t="str">
        <f t="shared" si="2"/>
        <v/>
      </c>
    </row>
    <row r="136" ht="15.75" customHeight="1">
      <c r="A136" s="28"/>
      <c r="B136" s="28"/>
      <c r="C136" s="29"/>
      <c r="D136" s="30"/>
      <c r="E136" s="30"/>
      <c r="F136" s="30"/>
      <c r="G136" s="31"/>
      <c r="H136" s="30"/>
      <c r="I136" s="31"/>
      <c r="J136" s="28"/>
      <c r="K136" s="25" t="str">
        <f t="shared" si="1"/>
        <v/>
      </c>
      <c r="L136" s="25" t="str">
        <f t="shared" si="2"/>
        <v/>
      </c>
    </row>
    <row r="137" ht="15.75" customHeight="1">
      <c r="A137" s="28"/>
      <c r="B137" s="28"/>
      <c r="C137" s="29"/>
      <c r="D137" s="30"/>
      <c r="E137" s="30"/>
      <c r="F137" s="30"/>
      <c r="G137" s="31"/>
      <c r="H137" s="30"/>
      <c r="I137" s="31"/>
      <c r="J137" s="28"/>
      <c r="K137" s="25" t="str">
        <f t="shared" si="1"/>
        <v/>
      </c>
      <c r="L137" s="25" t="str">
        <f t="shared" si="2"/>
        <v/>
      </c>
    </row>
    <row r="138" ht="15.75" customHeight="1">
      <c r="A138" s="28"/>
      <c r="B138" s="28"/>
      <c r="C138" s="29"/>
      <c r="D138" s="30"/>
      <c r="E138" s="30"/>
      <c r="F138" s="30"/>
      <c r="G138" s="31"/>
      <c r="H138" s="30"/>
      <c r="I138" s="31"/>
      <c r="J138" s="28"/>
      <c r="K138" s="25" t="str">
        <f t="shared" si="1"/>
        <v/>
      </c>
      <c r="L138" s="25" t="str">
        <f t="shared" si="2"/>
        <v/>
      </c>
    </row>
    <row r="139" ht="15.75" customHeight="1">
      <c r="A139" s="28"/>
      <c r="B139" s="28"/>
      <c r="C139" s="29"/>
      <c r="D139" s="30"/>
      <c r="E139" s="30"/>
      <c r="F139" s="30"/>
      <c r="G139" s="31"/>
      <c r="H139" s="30"/>
      <c r="I139" s="31"/>
      <c r="J139" s="28"/>
      <c r="K139" s="25" t="str">
        <f t="shared" si="1"/>
        <v/>
      </c>
      <c r="L139" s="25" t="str">
        <f t="shared" si="2"/>
        <v/>
      </c>
    </row>
    <row r="140" ht="15.75" customHeight="1">
      <c r="A140" s="28"/>
      <c r="B140" s="28"/>
      <c r="C140" s="29"/>
      <c r="D140" s="30"/>
      <c r="E140" s="30"/>
      <c r="F140" s="30"/>
      <c r="G140" s="31"/>
      <c r="H140" s="30"/>
      <c r="I140" s="31"/>
      <c r="J140" s="28"/>
      <c r="K140" s="25" t="str">
        <f t="shared" si="1"/>
        <v/>
      </c>
      <c r="L140" s="25" t="str">
        <f t="shared" si="2"/>
        <v/>
      </c>
    </row>
    <row r="141" ht="15.75" customHeight="1">
      <c r="A141" s="28"/>
      <c r="B141" s="28"/>
      <c r="C141" s="29"/>
      <c r="D141" s="30"/>
      <c r="E141" s="30"/>
      <c r="F141" s="30"/>
      <c r="G141" s="31"/>
      <c r="H141" s="30"/>
      <c r="I141" s="31"/>
      <c r="J141" s="28"/>
      <c r="K141" s="25" t="str">
        <f t="shared" si="1"/>
        <v/>
      </c>
      <c r="L141" s="25" t="str">
        <f t="shared" si="2"/>
        <v/>
      </c>
    </row>
    <row r="142" ht="15.75" customHeight="1">
      <c r="A142" s="28"/>
      <c r="B142" s="28"/>
      <c r="C142" s="29"/>
      <c r="D142" s="30"/>
      <c r="E142" s="30"/>
      <c r="F142" s="30"/>
      <c r="G142" s="31"/>
      <c r="H142" s="30"/>
      <c r="I142" s="31"/>
      <c r="J142" s="28"/>
      <c r="K142" s="25" t="str">
        <f t="shared" si="1"/>
        <v/>
      </c>
      <c r="L142" s="25" t="str">
        <f t="shared" si="2"/>
        <v/>
      </c>
    </row>
    <row r="143" ht="15.75" customHeight="1">
      <c r="A143" s="28"/>
      <c r="B143" s="28"/>
      <c r="C143" s="29"/>
      <c r="D143" s="30"/>
      <c r="E143" s="30"/>
      <c r="F143" s="30"/>
      <c r="G143" s="31"/>
      <c r="H143" s="30"/>
      <c r="I143" s="31"/>
      <c r="J143" s="28"/>
      <c r="K143" s="25" t="str">
        <f t="shared" si="1"/>
        <v/>
      </c>
      <c r="L143" s="25" t="str">
        <f t="shared" si="2"/>
        <v/>
      </c>
    </row>
    <row r="144" ht="15.75" customHeight="1">
      <c r="A144" s="28"/>
      <c r="B144" s="28"/>
      <c r="C144" s="29"/>
      <c r="D144" s="30"/>
      <c r="E144" s="30"/>
      <c r="F144" s="30"/>
      <c r="G144" s="31"/>
      <c r="H144" s="30"/>
      <c r="I144" s="31"/>
      <c r="J144" s="28"/>
      <c r="K144" s="25" t="str">
        <f t="shared" si="1"/>
        <v/>
      </c>
      <c r="L144" s="25" t="str">
        <f t="shared" si="2"/>
        <v/>
      </c>
    </row>
    <row r="145" ht="15.75" customHeight="1">
      <c r="A145" s="28"/>
      <c r="B145" s="28"/>
      <c r="C145" s="29"/>
      <c r="D145" s="30"/>
      <c r="E145" s="30"/>
      <c r="F145" s="30"/>
      <c r="G145" s="31"/>
      <c r="H145" s="30"/>
      <c r="I145" s="31"/>
      <c r="J145" s="28"/>
      <c r="K145" s="25" t="str">
        <f t="shared" si="1"/>
        <v/>
      </c>
      <c r="L145" s="25" t="str">
        <f t="shared" si="2"/>
        <v/>
      </c>
    </row>
    <row r="146" ht="15.75" customHeight="1">
      <c r="A146" s="28"/>
      <c r="B146" s="28"/>
      <c r="C146" s="29"/>
      <c r="D146" s="30"/>
      <c r="E146" s="30"/>
      <c r="F146" s="30"/>
      <c r="G146" s="31"/>
      <c r="H146" s="30"/>
      <c r="I146" s="31"/>
      <c r="J146" s="28"/>
      <c r="K146" s="25" t="str">
        <f t="shared" si="1"/>
        <v/>
      </c>
      <c r="L146" s="25" t="str">
        <f t="shared" si="2"/>
        <v/>
      </c>
    </row>
    <row r="147" ht="15.75" customHeight="1">
      <c r="A147" s="28"/>
      <c r="B147" s="28"/>
      <c r="C147" s="29"/>
      <c r="D147" s="30"/>
      <c r="E147" s="30"/>
      <c r="F147" s="30"/>
      <c r="G147" s="31"/>
      <c r="H147" s="30"/>
      <c r="I147" s="31"/>
      <c r="J147" s="28"/>
      <c r="K147" s="25" t="str">
        <f t="shared" si="1"/>
        <v/>
      </c>
      <c r="L147" s="25" t="str">
        <f t="shared" si="2"/>
        <v/>
      </c>
    </row>
    <row r="148" ht="15.75" customHeight="1">
      <c r="A148" s="28"/>
      <c r="B148" s="28"/>
      <c r="C148" s="29"/>
      <c r="D148" s="30"/>
      <c r="E148" s="30"/>
      <c r="F148" s="30"/>
      <c r="G148" s="31"/>
      <c r="H148" s="30"/>
      <c r="I148" s="31"/>
      <c r="J148" s="28"/>
      <c r="K148" s="25" t="str">
        <f t="shared" si="1"/>
        <v/>
      </c>
      <c r="L148" s="25" t="str">
        <f t="shared" si="2"/>
        <v/>
      </c>
    </row>
    <row r="149" ht="15.75" customHeight="1">
      <c r="A149" s="28"/>
      <c r="B149" s="28"/>
      <c r="C149" s="29"/>
      <c r="D149" s="30"/>
      <c r="E149" s="30"/>
      <c r="F149" s="30"/>
      <c r="G149" s="31"/>
      <c r="H149" s="30"/>
      <c r="I149" s="31"/>
      <c r="J149" s="28"/>
      <c r="K149" s="25" t="str">
        <f t="shared" si="1"/>
        <v/>
      </c>
      <c r="L149" s="25" t="str">
        <f t="shared" si="2"/>
        <v/>
      </c>
    </row>
    <row r="150" ht="15.75" customHeight="1">
      <c r="A150" s="28"/>
      <c r="B150" s="28"/>
      <c r="C150" s="29"/>
      <c r="D150" s="30"/>
      <c r="E150" s="30"/>
      <c r="F150" s="30"/>
      <c r="G150" s="31"/>
      <c r="H150" s="30"/>
      <c r="I150" s="31"/>
      <c r="J150" s="28"/>
      <c r="K150" s="25" t="str">
        <f t="shared" si="1"/>
        <v/>
      </c>
      <c r="L150" s="25" t="str">
        <f t="shared" si="2"/>
        <v/>
      </c>
    </row>
    <row r="151" ht="15.75" customHeight="1">
      <c r="A151" s="28"/>
      <c r="B151" s="28"/>
      <c r="C151" s="29"/>
      <c r="D151" s="30"/>
      <c r="E151" s="30"/>
      <c r="F151" s="30"/>
      <c r="G151" s="31"/>
      <c r="H151" s="30"/>
      <c r="I151" s="31"/>
      <c r="J151" s="28"/>
      <c r="K151" s="25" t="str">
        <f t="shared" si="1"/>
        <v/>
      </c>
      <c r="L151" s="25" t="str">
        <f t="shared" si="2"/>
        <v/>
      </c>
    </row>
    <row r="152" ht="15.75" customHeight="1">
      <c r="A152" s="28"/>
      <c r="B152" s="28"/>
      <c r="C152" s="29"/>
      <c r="D152" s="30"/>
      <c r="E152" s="30"/>
      <c r="F152" s="30"/>
      <c r="G152" s="31"/>
      <c r="H152" s="30"/>
      <c r="I152" s="31"/>
      <c r="J152" s="28"/>
      <c r="K152" s="25" t="str">
        <f t="shared" si="1"/>
        <v/>
      </c>
      <c r="L152" s="25" t="str">
        <f t="shared" si="2"/>
        <v/>
      </c>
    </row>
    <row r="153" ht="15.75" customHeight="1">
      <c r="A153" s="28"/>
      <c r="B153" s="28"/>
      <c r="C153" s="29"/>
      <c r="D153" s="30"/>
      <c r="E153" s="30"/>
      <c r="F153" s="30"/>
      <c r="G153" s="31"/>
      <c r="H153" s="30"/>
      <c r="I153" s="31"/>
      <c r="J153" s="28"/>
      <c r="K153" s="25" t="str">
        <f t="shared" si="1"/>
        <v/>
      </c>
      <c r="L153" s="25" t="str">
        <f t="shared" si="2"/>
        <v/>
      </c>
    </row>
    <row r="154" ht="15.75" customHeight="1">
      <c r="A154" s="28"/>
      <c r="B154" s="28"/>
      <c r="C154" s="29"/>
      <c r="D154" s="30"/>
      <c r="E154" s="30"/>
      <c r="F154" s="30"/>
      <c r="G154" s="31"/>
      <c r="H154" s="30"/>
      <c r="I154" s="31"/>
      <c r="J154" s="28"/>
      <c r="K154" s="25" t="str">
        <f t="shared" si="1"/>
        <v/>
      </c>
      <c r="L154" s="25" t="str">
        <f t="shared" si="2"/>
        <v/>
      </c>
    </row>
    <row r="155" ht="15.75" customHeight="1">
      <c r="A155" s="28"/>
      <c r="B155" s="28"/>
      <c r="C155" s="29"/>
      <c r="D155" s="30"/>
      <c r="E155" s="30"/>
      <c r="F155" s="30"/>
      <c r="G155" s="31"/>
      <c r="H155" s="30"/>
      <c r="I155" s="31"/>
      <c r="J155" s="28"/>
      <c r="K155" s="25" t="str">
        <f t="shared" si="1"/>
        <v/>
      </c>
      <c r="L155" s="25" t="str">
        <f t="shared" si="2"/>
        <v/>
      </c>
    </row>
    <row r="156" ht="15.75" customHeight="1">
      <c r="A156" s="28"/>
      <c r="B156" s="28"/>
      <c r="C156" s="29"/>
      <c r="D156" s="30"/>
      <c r="E156" s="30"/>
      <c r="F156" s="30"/>
      <c r="G156" s="31"/>
      <c r="H156" s="30"/>
      <c r="I156" s="31"/>
      <c r="J156" s="28"/>
      <c r="K156" s="25" t="str">
        <f t="shared" si="1"/>
        <v/>
      </c>
      <c r="L156" s="25" t="str">
        <f t="shared" si="2"/>
        <v/>
      </c>
    </row>
    <row r="157" ht="15.75" customHeight="1">
      <c r="A157" s="28"/>
      <c r="B157" s="28"/>
      <c r="C157" s="29"/>
      <c r="D157" s="30"/>
      <c r="E157" s="30"/>
      <c r="F157" s="30"/>
      <c r="G157" s="31"/>
      <c r="H157" s="30"/>
      <c r="I157" s="31"/>
      <c r="J157" s="28"/>
      <c r="K157" s="25" t="str">
        <f t="shared" si="1"/>
        <v/>
      </c>
      <c r="L157" s="25" t="str">
        <f t="shared" si="2"/>
        <v/>
      </c>
    </row>
    <row r="158" ht="15.75" customHeight="1">
      <c r="A158" s="28"/>
      <c r="B158" s="28"/>
      <c r="C158" s="29"/>
      <c r="D158" s="30"/>
      <c r="E158" s="30"/>
      <c r="F158" s="30"/>
      <c r="G158" s="31"/>
      <c r="H158" s="30"/>
      <c r="I158" s="31"/>
      <c r="J158" s="28"/>
      <c r="K158" s="25" t="str">
        <f t="shared" si="1"/>
        <v/>
      </c>
      <c r="L158" s="25" t="str">
        <f t="shared" si="2"/>
        <v/>
      </c>
    </row>
    <row r="159" ht="15.75" customHeight="1">
      <c r="A159" s="28"/>
      <c r="B159" s="28"/>
      <c r="C159" s="29"/>
      <c r="D159" s="30"/>
      <c r="E159" s="30"/>
      <c r="F159" s="30"/>
      <c r="G159" s="31"/>
      <c r="H159" s="30"/>
      <c r="I159" s="31"/>
      <c r="J159" s="28"/>
      <c r="K159" s="25" t="str">
        <f t="shared" si="1"/>
        <v/>
      </c>
      <c r="L159" s="25" t="str">
        <f t="shared" si="2"/>
        <v/>
      </c>
    </row>
    <row r="160" ht="15.75" customHeight="1">
      <c r="A160" s="28"/>
      <c r="B160" s="28"/>
      <c r="C160" s="29"/>
      <c r="D160" s="30"/>
      <c r="E160" s="30"/>
      <c r="F160" s="30"/>
      <c r="G160" s="31"/>
      <c r="H160" s="30"/>
      <c r="I160" s="31"/>
      <c r="J160" s="28"/>
      <c r="K160" s="25" t="str">
        <f t="shared" si="1"/>
        <v/>
      </c>
      <c r="L160" s="25" t="str">
        <f t="shared" si="2"/>
        <v/>
      </c>
    </row>
    <row r="161" ht="15.75" customHeight="1">
      <c r="A161" s="28"/>
      <c r="B161" s="28"/>
      <c r="C161" s="29"/>
      <c r="D161" s="30"/>
      <c r="E161" s="30"/>
      <c r="F161" s="30"/>
      <c r="G161" s="31"/>
      <c r="H161" s="30"/>
      <c r="I161" s="31"/>
      <c r="J161" s="28"/>
      <c r="K161" s="25" t="str">
        <f t="shared" si="1"/>
        <v/>
      </c>
      <c r="L161" s="25" t="str">
        <f t="shared" si="2"/>
        <v/>
      </c>
    </row>
    <row r="162" ht="15.75" customHeight="1">
      <c r="A162" s="28"/>
      <c r="B162" s="28"/>
      <c r="C162" s="29"/>
      <c r="D162" s="30"/>
      <c r="E162" s="30"/>
      <c r="F162" s="30"/>
      <c r="G162" s="31"/>
      <c r="H162" s="30"/>
      <c r="I162" s="31"/>
      <c r="J162" s="28"/>
      <c r="K162" s="25" t="str">
        <f t="shared" si="1"/>
        <v/>
      </c>
      <c r="L162" s="25" t="str">
        <f t="shared" si="2"/>
        <v/>
      </c>
    </row>
    <row r="163" ht="15.75" customHeight="1">
      <c r="A163" s="28"/>
      <c r="B163" s="28"/>
      <c r="C163" s="29"/>
      <c r="D163" s="30"/>
      <c r="E163" s="30"/>
      <c r="F163" s="30"/>
      <c r="G163" s="31"/>
      <c r="H163" s="30"/>
      <c r="I163" s="31"/>
      <c r="J163" s="28"/>
      <c r="K163" s="25" t="str">
        <f t="shared" si="1"/>
        <v/>
      </c>
      <c r="L163" s="25" t="str">
        <f t="shared" si="2"/>
        <v/>
      </c>
    </row>
    <row r="164" ht="15.75" customHeight="1">
      <c r="A164" s="28"/>
      <c r="B164" s="28"/>
      <c r="C164" s="29"/>
      <c r="D164" s="30"/>
      <c r="E164" s="30"/>
      <c r="F164" s="30"/>
      <c r="G164" s="31"/>
      <c r="H164" s="30"/>
      <c r="I164" s="31"/>
      <c r="J164" s="28"/>
      <c r="K164" s="25" t="str">
        <f t="shared" si="1"/>
        <v/>
      </c>
      <c r="L164" s="25" t="str">
        <f t="shared" si="2"/>
        <v/>
      </c>
    </row>
    <row r="165" ht="15.75" customHeight="1">
      <c r="A165" s="28"/>
      <c r="B165" s="28"/>
      <c r="C165" s="29"/>
      <c r="D165" s="30"/>
      <c r="E165" s="30"/>
      <c r="F165" s="30"/>
      <c r="G165" s="31"/>
      <c r="H165" s="30"/>
      <c r="I165" s="31"/>
      <c r="J165" s="28"/>
      <c r="K165" s="25" t="str">
        <f t="shared" si="1"/>
        <v/>
      </c>
      <c r="L165" s="25" t="str">
        <f t="shared" si="2"/>
        <v/>
      </c>
    </row>
    <row r="166" ht="15.75" customHeight="1">
      <c r="A166" s="28"/>
      <c r="B166" s="28"/>
      <c r="C166" s="29"/>
      <c r="D166" s="30"/>
      <c r="E166" s="30"/>
      <c r="F166" s="30"/>
      <c r="G166" s="31"/>
      <c r="H166" s="30"/>
      <c r="I166" s="31"/>
      <c r="J166" s="28"/>
      <c r="K166" s="25" t="str">
        <f t="shared" si="1"/>
        <v/>
      </c>
      <c r="L166" s="25" t="str">
        <f t="shared" si="2"/>
        <v/>
      </c>
    </row>
    <row r="167" ht="15.75" customHeight="1">
      <c r="A167" s="28"/>
      <c r="B167" s="28"/>
      <c r="C167" s="29"/>
      <c r="D167" s="30"/>
      <c r="E167" s="30"/>
      <c r="F167" s="30"/>
      <c r="G167" s="31"/>
      <c r="H167" s="30"/>
      <c r="I167" s="31"/>
      <c r="J167" s="28"/>
      <c r="K167" s="25" t="str">
        <f t="shared" si="1"/>
        <v/>
      </c>
      <c r="L167" s="25" t="str">
        <f t="shared" si="2"/>
        <v/>
      </c>
    </row>
    <row r="168" ht="15.75" customHeight="1">
      <c r="A168" s="28"/>
      <c r="B168" s="28"/>
      <c r="C168" s="29"/>
      <c r="D168" s="30"/>
      <c r="E168" s="30"/>
      <c r="F168" s="30"/>
      <c r="G168" s="31"/>
      <c r="H168" s="30"/>
      <c r="I168" s="31"/>
      <c r="J168" s="28"/>
      <c r="K168" s="25" t="str">
        <f t="shared" si="1"/>
        <v/>
      </c>
      <c r="L168" s="25" t="str">
        <f t="shared" si="2"/>
        <v/>
      </c>
    </row>
    <row r="169" ht="15.75" customHeight="1">
      <c r="A169" s="28"/>
      <c r="B169" s="28"/>
      <c r="C169" s="29"/>
      <c r="D169" s="30"/>
      <c r="E169" s="30"/>
      <c r="F169" s="30"/>
      <c r="G169" s="31"/>
      <c r="H169" s="30"/>
      <c r="I169" s="31"/>
      <c r="J169" s="28"/>
      <c r="K169" s="25" t="str">
        <f t="shared" si="1"/>
        <v/>
      </c>
      <c r="L169" s="25" t="str">
        <f t="shared" si="2"/>
        <v/>
      </c>
    </row>
    <row r="170" ht="15.75" customHeight="1">
      <c r="A170" s="28"/>
      <c r="B170" s="28"/>
      <c r="C170" s="29"/>
      <c r="D170" s="30"/>
      <c r="E170" s="30"/>
      <c r="F170" s="30"/>
      <c r="G170" s="31"/>
      <c r="H170" s="30"/>
      <c r="I170" s="31"/>
      <c r="J170" s="28"/>
      <c r="K170" s="25" t="str">
        <f t="shared" si="1"/>
        <v/>
      </c>
      <c r="L170" s="25" t="str">
        <f t="shared" si="2"/>
        <v/>
      </c>
    </row>
    <row r="171" ht="15.75" customHeight="1">
      <c r="A171" s="28"/>
      <c r="B171" s="28"/>
      <c r="C171" s="29"/>
      <c r="D171" s="30"/>
      <c r="E171" s="30"/>
      <c r="F171" s="30"/>
      <c r="G171" s="31"/>
      <c r="H171" s="30"/>
      <c r="I171" s="31"/>
      <c r="J171" s="28"/>
      <c r="K171" s="25" t="str">
        <f t="shared" si="1"/>
        <v/>
      </c>
      <c r="L171" s="25" t="str">
        <f t="shared" si="2"/>
        <v/>
      </c>
    </row>
    <row r="172" ht="15.75" customHeight="1">
      <c r="A172" s="28"/>
      <c r="B172" s="28"/>
      <c r="C172" s="29"/>
      <c r="D172" s="30"/>
      <c r="E172" s="30"/>
      <c r="F172" s="30"/>
      <c r="G172" s="31"/>
      <c r="H172" s="30"/>
      <c r="I172" s="31"/>
      <c r="J172" s="28"/>
      <c r="K172" s="25" t="str">
        <f t="shared" si="1"/>
        <v/>
      </c>
      <c r="L172" s="25" t="str">
        <f t="shared" si="2"/>
        <v/>
      </c>
    </row>
    <row r="173" ht="15.75" customHeight="1">
      <c r="A173" s="28"/>
      <c r="B173" s="28"/>
      <c r="C173" s="29"/>
      <c r="D173" s="30"/>
      <c r="E173" s="30"/>
      <c r="F173" s="30"/>
      <c r="G173" s="31"/>
      <c r="H173" s="30"/>
      <c r="I173" s="31"/>
      <c r="J173" s="28"/>
      <c r="K173" s="25" t="str">
        <f t="shared" si="1"/>
        <v/>
      </c>
      <c r="L173" s="25" t="str">
        <f t="shared" si="2"/>
        <v/>
      </c>
    </row>
    <row r="174" ht="15.75" customHeight="1">
      <c r="A174" s="28"/>
      <c r="B174" s="28"/>
      <c r="C174" s="29"/>
      <c r="D174" s="30"/>
      <c r="E174" s="30"/>
      <c r="F174" s="30"/>
      <c r="G174" s="31"/>
      <c r="H174" s="30"/>
      <c r="I174" s="31"/>
      <c r="J174" s="28"/>
      <c r="K174" s="25" t="str">
        <f t="shared" si="1"/>
        <v/>
      </c>
      <c r="L174" s="25" t="str">
        <f t="shared" si="2"/>
        <v/>
      </c>
    </row>
    <row r="175" ht="15.75" customHeight="1">
      <c r="A175" s="28"/>
      <c r="B175" s="28"/>
      <c r="C175" s="29"/>
      <c r="D175" s="30"/>
      <c r="E175" s="30"/>
      <c r="F175" s="30"/>
      <c r="G175" s="31"/>
      <c r="H175" s="30"/>
      <c r="I175" s="31"/>
      <c r="J175" s="28"/>
      <c r="K175" s="25" t="str">
        <f t="shared" si="1"/>
        <v/>
      </c>
      <c r="L175" s="25" t="str">
        <f t="shared" si="2"/>
        <v/>
      </c>
    </row>
    <row r="176" ht="15.75" customHeight="1">
      <c r="A176" s="28"/>
      <c r="B176" s="28"/>
      <c r="C176" s="29"/>
      <c r="D176" s="30"/>
      <c r="E176" s="30"/>
      <c r="F176" s="30"/>
      <c r="G176" s="31"/>
      <c r="H176" s="30"/>
      <c r="I176" s="31"/>
      <c r="J176" s="28"/>
      <c r="K176" s="25" t="str">
        <f t="shared" si="1"/>
        <v/>
      </c>
      <c r="L176" s="25" t="str">
        <f t="shared" si="2"/>
        <v/>
      </c>
    </row>
    <row r="177" ht="15.75" customHeight="1">
      <c r="A177" s="28"/>
      <c r="B177" s="28"/>
      <c r="C177" s="29"/>
      <c r="D177" s="30"/>
      <c r="E177" s="30"/>
      <c r="F177" s="30"/>
      <c r="G177" s="31"/>
      <c r="H177" s="30"/>
      <c r="I177" s="31"/>
      <c r="J177" s="28"/>
      <c r="K177" s="25" t="str">
        <f t="shared" si="1"/>
        <v/>
      </c>
      <c r="L177" s="25" t="str">
        <f t="shared" si="2"/>
        <v/>
      </c>
    </row>
    <row r="178" ht="15.75" customHeight="1">
      <c r="A178" s="28"/>
      <c r="B178" s="28"/>
      <c r="C178" s="29"/>
      <c r="D178" s="30"/>
      <c r="E178" s="30"/>
      <c r="F178" s="30"/>
      <c r="G178" s="31"/>
      <c r="H178" s="30"/>
      <c r="I178" s="31"/>
      <c r="J178" s="28"/>
      <c r="K178" s="25" t="str">
        <f t="shared" si="1"/>
        <v/>
      </c>
      <c r="L178" s="25" t="str">
        <f t="shared" si="2"/>
        <v/>
      </c>
    </row>
    <row r="179" ht="15.75" customHeight="1">
      <c r="A179" s="28"/>
      <c r="B179" s="28"/>
      <c r="C179" s="29"/>
      <c r="D179" s="30"/>
      <c r="E179" s="30"/>
      <c r="F179" s="30"/>
      <c r="G179" s="31"/>
      <c r="H179" s="30"/>
      <c r="I179" s="31"/>
      <c r="J179" s="28"/>
      <c r="K179" s="25" t="str">
        <f t="shared" si="1"/>
        <v/>
      </c>
      <c r="L179" s="25" t="str">
        <f t="shared" si="2"/>
        <v/>
      </c>
    </row>
    <row r="180" ht="15.75" customHeight="1">
      <c r="A180" s="28"/>
      <c r="B180" s="28"/>
      <c r="C180" s="29"/>
      <c r="D180" s="30"/>
      <c r="E180" s="30"/>
      <c r="F180" s="30"/>
      <c r="G180" s="31"/>
      <c r="H180" s="30"/>
      <c r="I180" s="31"/>
      <c r="J180" s="28"/>
      <c r="K180" s="25" t="str">
        <f t="shared" si="1"/>
        <v/>
      </c>
      <c r="L180" s="25" t="str">
        <f t="shared" si="2"/>
        <v/>
      </c>
    </row>
    <row r="181" ht="15.75" customHeight="1">
      <c r="A181" s="28"/>
      <c r="B181" s="28"/>
      <c r="C181" s="29"/>
      <c r="D181" s="30"/>
      <c r="E181" s="30"/>
      <c r="F181" s="30"/>
      <c r="G181" s="31"/>
      <c r="H181" s="30"/>
      <c r="I181" s="31"/>
      <c r="J181" s="28"/>
      <c r="K181" s="25" t="str">
        <f t="shared" si="1"/>
        <v/>
      </c>
      <c r="L181" s="25" t="str">
        <f t="shared" si="2"/>
        <v/>
      </c>
    </row>
    <row r="182" ht="15.75" customHeight="1">
      <c r="A182" s="28"/>
      <c r="B182" s="28"/>
      <c r="C182" s="29"/>
      <c r="D182" s="30"/>
      <c r="E182" s="30"/>
      <c r="F182" s="30"/>
      <c r="G182" s="31"/>
      <c r="H182" s="30"/>
      <c r="I182" s="31"/>
      <c r="J182" s="28"/>
      <c r="K182" s="25" t="str">
        <f t="shared" si="1"/>
        <v/>
      </c>
      <c r="L182" s="25" t="str">
        <f t="shared" si="2"/>
        <v/>
      </c>
    </row>
    <row r="183" ht="15.75" customHeight="1">
      <c r="A183" s="28"/>
      <c r="B183" s="28"/>
      <c r="C183" s="29"/>
      <c r="D183" s="30"/>
      <c r="E183" s="30"/>
      <c r="F183" s="30"/>
      <c r="G183" s="31"/>
      <c r="H183" s="30"/>
      <c r="I183" s="31"/>
      <c r="J183" s="28"/>
      <c r="K183" s="25" t="str">
        <f t="shared" si="1"/>
        <v/>
      </c>
      <c r="L183" s="25" t="str">
        <f t="shared" si="2"/>
        <v/>
      </c>
    </row>
    <row r="184" ht="15.75" customHeight="1">
      <c r="A184" s="28"/>
      <c r="B184" s="28"/>
      <c r="C184" s="29"/>
      <c r="D184" s="30"/>
      <c r="E184" s="30"/>
      <c r="F184" s="30"/>
      <c r="G184" s="31"/>
      <c r="H184" s="30"/>
      <c r="I184" s="31"/>
      <c r="J184" s="28"/>
      <c r="K184" s="25" t="str">
        <f t="shared" si="1"/>
        <v/>
      </c>
      <c r="L184" s="25" t="str">
        <f t="shared" si="2"/>
        <v/>
      </c>
    </row>
    <row r="185" ht="15.75" customHeight="1">
      <c r="A185" s="28"/>
      <c r="B185" s="28"/>
      <c r="C185" s="29"/>
      <c r="D185" s="30"/>
      <c r="E185" s="30"/>
      <c r="F185" s="30"/>
      <c r="G185" s="31"/>
      <c r="H185" s="30"/>
      <c r="I185" s="31"/>
      <c r="J185" s="28"/>
      <c r="K185" s="25" t="str">
        <f t="shared" si="1"/>
        <v/>
      </c>
      <c r="L185" s="25" t="str">
        <f t="shared" si="2"/>
        <v/>
      </c>
    </row>
    <row r="186" ht="15.75" customHeight="1">
      <c r="A186" s="28"/>
      <c r="B186" s="28"/>
      <c r="C186" s="29"/>
      <c r="D186" s="30"/>
      <c r="E186" s="30"/>
      <c r="F186" s="30"/>
      <c r="G186" s="31"/>
      <c r="H186" s="30"/>
      <c r="I186" s="31"/>
      <c r="J186" s="28"/>
      <c r="K186" s="25" t="str">
        <f t="shared" si="1"/>
        <v/>
      </c>
      <c r="L186" s="25" t="str">
        <f t="shared" si="2"/>
        <v/>
      </c>
    </row>
    <row r="187" ht="15.75" customHeight="1">
      <c r="A187" s="28"/>
      <c r="B187" s="28"/>
      <c r="C187" s="29"/>
      <c r="D187" s="30"/>
      <c r="E187" s="30"/>
      <c r="F187" s="30"/>
      <c r="G187" s="31"/>
      <c r="H187" s="30"/>
      <c r="I187" s="31"/>
      <c r="J187" s="28"/>
      <c r="K187" s="25" t="str">
        <f t="shared" si="1"/>
        <v/>
      </c>
      <c r="L187" s="25" t="str">
        <f t="shared" si="2"/>
        <v/>
      </c>
    </row>
    <row r="188" ht="15.75" customHeight="1">
      <c r="A188" s="28"/>
      <c r="B188" s="28"/>
      <c r="C188" s="29"/>
      <c r="D188" s="30"/>
      <c r="E188" s="30"/>
      <c r="F188" s="30"/>
      <c r="G188" s="31"/>
      <c r="H188" s="30"/>
      <c r="I188" s="31"/>
      <c r="J188" s="28"/>
      <c r="K188" s="25" t="str">
        <f t="shared" si="1"/>
        <v/>
      </c>
      <c r="L188" s="25" t="str">
        <f t="shared" si="2"/>
        <v/>
      </c>
    </row>
    <row r="189" ht="15.75" customHeight="1">
      <c r="A189" s="28"/>
      <c r="B189" s="28"/>
      <c r="C189" s="29"/>
      <c r="D189" s="30"/>
      <c r="E189" s="30"/>
      <c r="F189" s="30"/>
      <c r="G189" s="31"/>
      <c r="H189" s="30"/>
      <c r="I189" s="31"/>
      <c r="J189" s="28"/>
      <c r="K189" s="25" t="str">
        <f t="shared" si="1"/>
        <v/>
      </c>
      <c r="L189" s="25" t="str">
        <f t="shared" si="2"/>
        <v/>
      </c>
    </row>
    <row r="190" ht="15.75" customHeight="1">
      <c r="A190" s="28"/>
      <c r="B190" s="28"/>
      <c r="C190" s="29"/>
      <c r="D190" s="30"/>
      <c r="E190" s="30"/>
      <c r="F190" s="30"/>
      <c r="G190" s="31"/>
      <c r="H190" s="30"/>
      <c r="I190" s="31"/>
      <c r="J190" s="28"/>
      <c r="K190" s="25" t="str">
        <f t="shared" si="1"/>
        <v/>
      </c>
      <c r="L190" s="25" t="str">
        <f t="shared" si="2"/>
        <v/>
      </c>
    </row>
    <row r="191" ht="15.75" customHeight="1">
      <c r="A191" s="28"/>
      <c r="B191" s="28"/>
      <c r="C191" s="29"/>
      <c r="D191" s="30"/>
      <c r="E191" s="30"/>
      <c r="F191" s="30"/>
      <c r="G191" s="31"/>
      <c r="H191" s="30"/>
      <c r="I191" s="31"/>
      <c r="J191" s="28"/>
      <c r="K191" s="25" t="str">
        <f t="shared" si="1"/>
        <v/>
      </c>
      <c r="L191" s="25" t="str">
        <f t="shared" si="2"/>
        <v/>
      </c>
    </row>
    <row r="192" ht="15.75" customHeight="1">
      <c r="A192" s="28"/>
      <c r="B192" s="28"/>
      <c r="C192" s="29"/>
      <c r="D192" s="30"/>
      <c r="E192" s="30"/>
      <c r="F192" s="30"/>
      <c r="G192" s="31"/>
      <c r="H192" s="30"/>
      <c r="I192" s="31"/>
      <c r="J192" s="28"/>
      <c r="K192" s="25" t="str">
        <f t="shared" si="1"/>
        <v/>
      </c>
      <c r="L192" s="25" t="str">
        <f t="shared" si="2"/>
        <v/>
      </c>
    </row>
    <row r="193" ht="15.75" customHeight="1">
      <c r="A193" s="28"/>
      <c r="B193" s="28"/>
      <c r="C193" s="29"/>
      <c r="D193" s="30"/>
      <c r="E193" s="30"/>
      <c r="F193" s="30"/>
      <c r="G193" s="31"/>
      <c r="H193" s="30"/>
      <c r="I193" s="31"/>
      <c r="J193" s="28"/>
      <c r="K193" s="25" t="str">
        <f t="shared" si="1"/>
        <v/>
      </c>
      <c r="L193" s="25" t="str">
        <f t="shared" si="2"/>
        <v/>
      </c>
    </row>
    <row r="194" ht="15.75" customHeight="1">
      <c r="A194" s="28"/>
      <c r="B194" s="28"/>
      <c r="C194" s="29"/>
      <c r="D194" s="30"/>
      <c r="E194" s="30"/>
      <c r="F194" s="30"/>
      <c r="G194" s="31"/>
      <c r="H194" s="30"/>
      <c r="I194" s="31"/>
      <c r="J194" s="28"/>
      <c r="K194" s="25" t="str">
        <f t="shared" si="1"/>
        <v/>
      </c>
      <c r="L194" s="25" t="str">
        <f t="shared" si="2"/>
        <v/>
      </c>
    </row>
    <row r="195" ht="15.75" customHeight="1">
      <c r="A195" s="28"/>
      <c r="B195" s="28"/>
      <c r="C195" s="29"/>
      <c r="D195" s="30"/>
      <c r="E195" s="30"/>
      <c r="F195" s="30"/>
      <c r="G195" s="31"/>
      <c r="H195" s="30"/>
      <c r="I195" s="31"/>
      <c r="J195" s="28"/>
      <c r="K195" s="25" t="str">
        <f t="shared" si="1"/>
        <v/>
      </c>
      <c r="L195" s="25" t="str">
        <f t="shared" si="2"/>
        <v/>
      </c>
    </row>
    <row r="196" ht="15.75" customHeight="1">
      <c r="A196" s="28"/>
      <c r="B196" s="28"/>
      <c r="C196" s="29"/>
      <c r="D196" s="30"/>
      <c r="E196" s="30"/>
      <c r="F196" s="30"/>
      <c r="G196" s="31"/>
      <c r="H196" s="30"/>
      <c r="I196" s="31"/>
      <c r="J196" s="28"/>
      <c r="K196" s="25" t="str">
        <f t="shared" si="1"/>
        <v/>
      </c>
      <c r="L196" s="25" t="str">
        <f t="shared" si="2"/>
        <v/>
      </c>
    </row>
    <row r="197" ht="15.75" customHeight="1">
      <c r="A197" s="28"/>
      <c r="B197" s="28"/>
      <c r="C197" s="29"/>
      <c r="D197" s="30"/>
      <c r="E197" s="30"/>
      <c r="F197" s="30"/>
      <c r="G197" s="31"/>
      <c r="H197" s="30"/>
      <c r="I197" s="31"/>
      <c r="J197" s="28"/>
      <c r="K197" s="25" t="str">
        <f t="shared" si="1"/>
        <v/>
      </c>
      <c r="L197" s="25" t="str">
        <f t="shared" si="2"/>
        <v/>
      </c>
    </row>
    <row r="198" ht="15.75" customHeight="1">
      <c r="A198" s="28"/>
      <c r="B198" s="28"/>
      <c r="C198" s="29"/>
      <c r="D198" s="30"/>
      <c r="E198" s="30"/>
      <c r="F198" s="30"/>
      <c r="G198" s="31"/>
      <c r="H198" s="30"/>
      <c r="I198" s="31"/>
      <c r="J198" s="28"/>
      <c r="K198" s="25" t="str">
        <f t="shared" si="1"/>
        <v/>
      </c>
      <c r="L198" s="25" t="str">
        <f t="shared" si="2"/>
        <v/>
      </c>
    </row>
    <row r="199" ht="15.75" customHeight="1">
      <c r="A199" s="28"/>
      <c r="B199" s="28"/>
      <c r="C199" s="29"/>
      <c r="D199" s="30"/>
      <c r="E199" s="30"/>
      <c r="F199" s="30"/>
      <c r="G199" s="31"/>
      <c r="H199" s="30"/>
      <c r="I199" s="31"/>
      <c r="J199" s="28"/>
      <c r="K199" s="25" t="str">
        <f t="shared" si="1"/>
        <v/>
      </c>
      <c r="L199" s="25" t="str">
        <f t="shared" si="2"/>
        <v/>
      </c>
    </row>
    <row r="200" ht="15.75" customHeight="1">
      <c r="A200" s="28"/>
      <c r="B200" s="28"/>
      <c r="C200" s="29"/>
      <c r="D200" s="30"/>
      <c r="E200" s="30"/>
      <c r="F200" s="30"/>
      <c r="G200" s="31"/>
      <c r="H200" s="30"/>
      <c r="I200" s="31"/>
      <c r="J200" s="28"/>
      <c r="K200" s="25" t="str">
        <f t="shared" si="1"/>
        <v/>
      </c>
      <c r="L200" s="25" t="str">
        <f t="shared" si="2"/>
        <v/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2.0"/>
    <col customWidth="1" min="3" max="4" width="8.71"/>
    <col customWidth="1" min="5" max="5" width="18.0"/>
    <col customWidth="1" min="6" max="6" width="8.71"/>
    <col customWidth="1" min="7" max="7" width="16.0"/>
    <col customWidth="1" min="8" max="8" width="20.0"/>
    <col customWidth="1" min="9" max="9" width="14.0"/>
    <col customWidth="1" min="10" max="10" width="12.0"/>
    <col customWidth="1" min="11" max="11" width="14.0"/>
    <col customWidth="1" min="12" max="12" width="16.0"/>
    <col customWidth="1" min="13" max="13" width="18.0"/>
    <col customWidth="1" min="14" max="14" width="20.0"/>
    <col customWidth="1" min="15" max="15" width="12.0"/>
    <col customWidth="1" min="16" max="16" width="22.0"/>
    <col customWidth="1" min="17" max="26" width="8.71"/>
  </cols>
  <sheetData>
    <row r="1" ht="27.75" customHeight="1">
      <c r="A1" s="22" t="s">
        <v>170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>
      <c r="A2" s="23" t="s">
        <v>171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ht="19.5" customHeight="1">
      <c r="A4" s="26" t="s">
        <v>172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ht="30.0" customHeight="1">
      <c r="A5" s="27" t="s">
        <v>173</v>
      </c>
      <c r="B5" s="27" t="s">
        <v>153</v>
      </c>
      <c r="C5" s="27" t="s">
        <v>174</v>
      </c>
      <c r="D5" s="27" t="s">
        <v>12</v>
      </c>
      <c r="E5" s="27" t="s">
        <v>175</v>
      </c>
      <c r="F5" s="27" t="s">
        <v>176</v>
      </c>
      <c r="G5" s="27" t="s">
        <v>177</v>
      </c>
      <c r="H5" s="27" t="s">
        <v>178</v>
      </c>
      <c r="I5" s="27" t="s">
        <v>179</v>
      </c>
      <c r="J5" s="27" t="s">
        <v>180</v>
      </c>
      <c r="K5" s="27" t="s">
        <v>181</v>
      </c>
      <c r="L5" s="27" t="s">
        <v>182</v>
      </c>
      <c r="M5" s="27" t="s">
        <v>183</v>
      </c>
      <c r="N5" s="27" t="s">
        <v>184</v>
      </c>
      <c r="O5" s="27" t="s">
        <v>185</v>
      </c>
      <c r="P5" s="27" t="s">
        <v>186</v>
      </c>
      <c r="Q5" s="27" t="s">
        <v>187</v>
      </c>
      <c r="R5" s="21" t="s">
        <v>188</v>
      </c>
    </row>
    <row r="6">
      <c r="A6" s="33" t="s">
        <v>189</v>
      </c>
      <c r="B6" s="33"/>
      <c r="C6" s="33"/>
      <c r="D6" s="33" t="s">
        <v>190</v>
      </c>
      <c r="E6" s="34">
        <f>IF($A6="","",SUMIFS('2023-2024 Tracker'!$K$2:$K$5000,'2023-2024 Tracker'!$B$2:$B$5000,"Income",'2023-2024 Tracker'!$E$2:$E$5000,$A6,'2023-2024 Tracker'!$M$2:$M$5000,"Cleared")+SUMIFS('2025-2026 Tracker'!$K$2:$K$5000,'2025-2026 Tracker'!$B$2:$B$5000,"Income",'2025-2026 Tracker'!$E$2:$E$5000,$A6,'2025-2026 Tracker'!$M$2:$M$5000,"Cleared"))</f>
        <v>0</v>
      </c>
      <c r="F6" s="34">
        <f>IF($A6="","",SUMIFS('2023-2024 Tracker'!$K$2:$K$5000,'2023-2024 Tracker'!$B$2:$B$5000,"Expense",'2023-2024 Tracker'!$E$2:$E$5000,$A6,'2023-2024 Tracker'!$M$2:$M$5000,"Cleared")+SUMIFS('2025-2026 Tracker'!$K$2:$K$5000,'2025-2026 Tracker'!$B$2:$B$5000,"Expense",'2025-2026 Tracker'!$E$2:$E$5000,$A6,'2025-2026 Tracker'!$M$2:$M$5000,"Cleared"))</f>
        <v>0</v>
      </c>
      <c r="G6" s="34">
        <f t="shared" ref="G6:G200" si="1">IF($A6="","",E6-F6)</f>
        <v>0</v>
      </c>
      <c r="H6" s="34">
        <f>IF($A6="","",SUMIFS('2023-2024 Tracker'!$K$2:$K$5000,'2023-2024 Tracker'!$B$2:$B$5000,"Income",'2023-2024 Tracker'!$E$2:$E$5000,$A6,'2023-2024 Tracker'!$M$2:$M$5000,"Pending")+SUMIFS('2023-2024 Tracker'!$K$2:$K$5000,'2023-2024 Tracker'!$B$2:$B$5000,"Income",'2023-2024 Tracker'!$E$2:$E$5000,$A6,'2023-2024 Tracker'!$M$2:$M$5000,"Expected")+SUMIFS('2025-2026 Tracker'!$K$2:$K$5000,'2025-2026 Tracker'!$B$2:$B$5000,"Income",'2025-2026 Tracker'!$E$2:$E$5000,$A6,'2025-2026 Tracker'!$M$2:$M$5000,"Pending")+SUMIFS('2025-2026 Tracker'!$K$2:$K$5000,'2025-2026 Tracker'!$B$2:$B$5000,"Income",'2025-2026 Tracker'!$E$2:$E$5000,$A6,'2025-2026 Tracker'!$M$2:$M$5000,"Expected"))</f>
        <v>0</v>
      </c>
      <c r="I6" s="33" t="s">
        <v>191</v>
      </c>
      <c r="J6" s="33"/>
      <c r="K6" s="33"/>
      <c r="L6" s="33"/>
      <c r="M6" s="33"/>
      <c r="N6" s="33"/>
      <c r="O6" s="33"/>
      <c r="P6" s="33"/>
      <c r="Q6" s="33"/>
      <c r="R6" s="21" t="s">
        <v>192</v>
      </c>
    </row>
    <row r="7">
      <c r="A7" s="33" t="s">
        <v>193</v>
      </c>
      <c r="B7" s="33"/>
      <c r="C7" s="33"/>
      <c r="D7" s="33" t="s">
        <v>159</v>
      </c>
      <c r="E7" s="34">
        <f>IF($A7="","",SUMIFS('2023-2024 Tracker'!$K$2:$K$5000,'2023-2024 Tracker'!$B$2:$B$5000,"Income",'2023-2024 Tracker'!$E$2:$E$5000,$A7,'2023-2024 Tracker'!$M$2:$M$5000,"Cleared")+SUMIFS('2025-2026 Tracker'!$K$2:$K$5000,'2025-2026 Tracker'!$B$2:$B$5000,"Income",'2025-2026 Tracker'!$E$2:$E$5000,$A7,'2025-2026 Tracker'!$M$2:$M$5000,"Cleared"))</f>
        <v>0</v>
      </c>
      <c r="F7" s="34">
        <f>IF($A7="","",SUMIFS('2023-2024 Tracker'!$K$2:$K$5000,'2023-2024 Tracker'!$B$2:$B$5000,"Expense",'2023-2024 Tracker'!$E$2:$E$5000,$A7,'2023-2024 Tracker'!$M$2:$M$5000,"Cleared")+SUMIFS('2025-2026 Tracker'!$K$2:$K$5000,'2025-2026 Tracker'!$B$2:$B$5000,"Expense",'2025-2026 Tracker'!$E$2:$E$5000,$A7,'2025-2026 Tracker'!$M$2:$M$5000,"Cleared"))</f>
        <v>0</v>
      </c>
      <c r="G7" s="34">
        <f t="shared" si="1"/>
        <v>0</v>
      </c>
      <c r="H7" s="34">
        <f>IF($A7="","",SUMIFS('2023-2024 Tracker'!$K$2:$K$5000,'2023-2024 Tracker'!$B$2:$B$5000,"Income",'2023-2024 Tracker'!$E$2:$E$5000,$A7,'2023-2024 Tracker'!$M$2:$M$5000,"Pending")+SUMIFS('2023-2024 Tracker'!$K$2:$K$5000,'2023-2024 Tracker'!$B$2:$B$5000,"Income",'2023-2024 Tracker'!$E$2:$E$5000,$A7,'2023-2024 Tracker'!$M$2:$M$5000,"Expected")+SUMIFS('2025-2026 Tracker'!$K$2:$K$5000,'2025-2026 Tracker'!$B$2:$B$5000,"Income",'2025-2026 Tracker'!$E$2:$E$5000,$A7,'2025-2026 Tracker'!$M$2:$M$5000,"Pending")+SUMIFS('2025-2026 Tracker'!$K$2:$K$5000,'2025-2026 Tracker'!$B$2:$B$5000,"Income",'2025-2026 Tracker'!$E$2:$E$5000,$A7,'2025-2026 Tracker'!$M$2:$M$5000,"Expected"))</f>
        <v>0</v>
      </c>
      <c r="I7" s="33" t="s">
        <v>191</v>
      </c>
      <c r="J7" s="33"/>
      <c r="K7" s="33"/>
      <c r="L7" s="33"/>
      <c r="M7" s="33"/>
      <c r="N7" s="33"/>
      <c r="O7" s="33"/>
      <c r="P7" s="33"/>
      <c r="Q7" s="33"/>
      <c r="R7" s="21" t="s">
        <v>192</v>
      </c>
    </row>
    <row r="8">
      <c r="A8" s="33" t="s">
        <v>194</v>
      </c>
      <c r="B8" s="33"/>
      <c r="C8" s="33"/>
      <c r="D8" s="33" t="s">
        <v>159</v>
      </c>
      <c r="E8" s="34">
        <f>IF($A8="","",SUMIFS('2023-2024 Tracker'!$K$2:$K$5000,'2023-2024 Tracker'!$B$2:$B$5000,"Income",'2023-2024 Tracker'!$E$2:$E$5000,$A8,'2023-2024 Tracker'!$M$2:$M$5000,"Cleared")+SUMIFS('2025-2026 Tracker'!$K$2:$K$5000,'2025-2026 Tracker'!$B$2:$B$5000,"Income",'2025-2026 Tracker'!$E$2:$E$5000,$A8,'2025-2026 Tracker'!$M$2:$M$5000,"Cleared"))</f>
        <v>0</v>
      </c>
      <c r="F8" s="34">
        <f>IF($A8="","",SUMIFS('2023-2024 Tracker'!$K$2:$K$5000,'2023-2024 Tracker'!$B$2:$B$5000,"Expense",'2023-2024 Tracker'!$E$2:$E$5000,$A8,'2023-2024 Tracker'!$M$2:$M$5000,"Cleared")+SUMIFS('2025-2026 Tracker'!$K$2:$K$5000,'2025-2026 Tracker'!$B$2:$B$5000,"Expense",'2025-2026 Tracker'!$E$2:$E$5000,$A8,'2025-2026 Tracker'!$M$2:$M$5000,"Cleared"))</f>
        <v>0</v>
      </c>
      <c r="G8" s="34">
        <f t="shared" si="1"/>
        <v>0</v>
      </c>
      <c r="H8" s="34">
        <f>IF($A8="","",SUMIFS('2023-2024 Tracker'!$K$2:$K$5000,'2023-2024 Tracker'!$B$2:$B$5000,"Income",'2023-2024 Tracker'!$E$2:$E$5000,$A8,'2023-2024 Tracker'!$M$2:$M$5000,"Pending")+SUMIFS('2023-2024 Tracker'!$K$2:$K$5000,'2023-2024 Tracker'!$B$2:$B$5000,"Income",'2023-2024 Tracker'!$E$2:$E$5000,$A8,'2023-2024 Tracker'!$M$2:$M$5000,"Expected")+SUMIFS('2025-2026 Tracker'!$K$2:$K$5000,'2025-2026 Tracker'!$B$2:$B$5000,"Income",'2025-2026 Tracker'!$E$2:$E$5000,$A8,'2025-2026 Tracker'!$M$2:$M$5000,"Pending")+SUMIFS('2025-2026 Tracker'!$K$2:$K$5000,'2025-2026 Tracker'!$B$2:$B$5000,"Income",'2025-2026 Tracker'!$E$2:$E$5000,$A8,'2025-2026 Tracker'!$M$2:$M$5000,"Expected"))</f>
        <v>0</v>
      </c>
      <c r="I8" s="33" t="s">
        <v>191</v>
      </c>
      <c r="J8" s="33"/>
      <c r="K8" s="33"/>
      <c r="L8" s="33"/>
      <c r="M8" s="33"/>
      <c r="N8" s="33"/>
      <c r="O8" s="33"/>
      <c r="P8" s="33"/>
      <c r="Q8" s="33"/>
      <c r="R8" s="21" t="s">
        <v>192</v>
      </c>
    </row>
    <row r="9">
      <c r="A9" s="33" t="s">
        <v>195</v>
      </c>
      <c r="B9" s="33"/>
      <c r="C9" s="33"/>
      <c r="D9" s="33" t="s">
        <v>159</v>
      </c>
      <c r="E9" s="34">
        <f>IF($A9="","",SUMIFS('2023-2024 Tracker'!$K$2:$K$5000,'2023-2024 Tracker'!$B$2:$B$5000,"Income",'2023-2024 Tracker'!$E$2:$E$5000,$A9,'2023-2024 Tracker'!$M$2:$M$5000,"Cleared")+SUMIFS('2025-2026 Tracker'!$K$2:$K$5000,'2025-2026 Tracker'!$B$2:$B$5000,"Income",'2025-2026 Tracker'!$E$2:$E$5000,$A9,'2025-2026 Tracker'!$M$2:$M$5000,"Cleared"))</f>
        <v>0</v>
      </c>
      <c r="F9" s="34">
        <f>IF($A9="","",SUMIFS('2023-2024 Tracker'!$K$2:$K$5000,'2023-2024 Tracker'!$B$2:$B$5000,"Expense",'2023-2024 Tracker'!$E$2:$E$5000,$A9,'2023-2024 Tracker'!$M$2:$M$5000,"Cleared")+SUMIFS('2025-2026 Tracker'!$K$2:$K$5000,'2025-2026 Tracker'!$B$2:$B$5000,"Expense",'2025-2026 Tracker'!$E$2:$E$5000,$A9,'2025-2026 Tracker'!$M$2:$M$5000,"Cleared"))</f>
        <v>0</v>
      </c>
      <c r="G9" s="34">
        <f t="shared" si="1"/>
        <v>0</v>
      </c>
      <c r="H9" s="34">
        <f>IF($A9="","",SUMIFS('2023-2024 Tracker'!$K$2:$K$5000,'2023-2024 Tracker'!$B$2:$B$5000,"Income",'2023-2024 Tracker'!$E$2:$E$5000,$A9,'2023-2024 Tracker'!$M$2:$M$5000,"Pending")+SUMIFS('2023-2024 Tracker'!$K$2:$K$5000,'2023-2024 Tracker'!$B$2:$B$5000,"Income",'2023-2024 Tracker'!$E$2:$E$5000,$A9,'2023-2024 Tracker'!$M$2:$M$5000,"Expected")+SUMIFS('2025-2026 Tracker'!$K$2:$K$5000,'2025-2026 Tracker'!$B$2:$B$5000,"Income",'2025-2026 Tracker'!$E$2:$E$5000,$A9,'2025-2026 Tracker'!$M$2:$M$5000,"Pending")+SUMIFS('2025-2026 Tracker'!$K$2:$K$5000,'2025-2026 Tracker'!$B$2:$B$5000,"Income",'2025-2026 Tracker'!$E$2:$E$5000,$A9,'2025-2026 Tracker'!$M$2:$M$5000,"Expected"))</f>
        <v>0</v>
      </c>
      <c r="I9" s="33" t="s">
        <v>191</v>
      </c>
      <c r="J9" s="33"/>
      <c r="K9" s="33"/>
      <c r="L9" s="33"/>
      <c r="M9" s="33"/>
      <c r="N9" s="33"/>
      <c r="O9" s="33"/>
      <c r="P9" s="33"/>
      <c r="Q9" s="33"/>
      <c r="R9" s="21" t="s">
        <v>192</v>
      </c>
    </row>
    <row r="10">
      <c r="A10" s="33" t="s">
        <v>22</v>
      </c>
      <c r="B10" s="33"/>
      <c r="C10" s="33"/>
      <c r="D10" s="33" t="s">
        <v>159</v>
      </c>
      <c r="E10" s="34">
        <f>IF($A10="","",SUMIFS('2023-2024 Tracker'!$K$2:$K$5000,'2023-2024 Tracker'!$B$2:$B$5000,"Income",'2023-2024 Tracker'!$E$2:$E$5000,$A10,'2023-2024 Tracker'!$M$2:$M$5000,"Cleared")+SUMIFS('2025-2026 Tracker'!$K$2:$K$5000,'2025-2026 Tracker'!$B$2:$B$5000,"Income",'2025-2026 Tracker'!$E$2:$E$5000,$A10,'2025-2026 Tracker'!$M$2:$M$5000,"Cleared"))</f>
        <v>0</v>
      </c>
      <c r="F10" s="34">
        <f>IF($A10="","",SUMIFS('2023-2024 Tracker'!$K$2:$K$5000,'2023-2024 Tracker'!$B$2:$B$5000,"Expense",'2023-2024 Tracker'!$E$2:$E$5000,$A10,'2023-2024 Tracker'!$M$2:$M$5000,"Cleared")+SUMIFS('2025-2026 Tracker'!$K$2:$K$5000,'2025-2026 Tracker'!$B$2:$B$5000,"Expense",'2025-2026 Tracker'!$E$2:$E$5000,$A10,'2025-2026 Tracker'!$M$2:$M$5000,"Cleared"))</f>
        <v>261.44</v>
      </c>
      <c r="G10" s="34">
        <f t="shared" si="1"/>
        <v>-261.44</v>
      </c>
      <c r="H10" s="34">
        <f>IF($A10="","",SUMIFS('2023-2024 Tracker'!$K$2:$K$5000,'2023-2024 Tracker'!$B$2:$B$5000,"Income",'2023-2024 Tracker'!$E$2:$E$5000,$A10,'2023-2024 Tracker'!$M$2:$M$5000,"Pending")+SUMIFS('2023-2024 Tracker'!$K$2:$K$5000,'2023-2024 Tracker'!$B$2:$B$5000,"Income",'2023-2024 Tracker'!$E$2:$E$5000,$A10,'2023-2024 Tracker'!$M$2:$M$5000,"Expected")+SUMIFS('2025-2026 Tracker'!$K$2:$K$5000,'2025-2026 Tracker'!$B$2:$B$5000,"Income",'2025-2026 Tracker'!$E$2:$E$5000,$A10,'2025-2026 Tracker'!$M$2:$M$5000,"Pending")+SUMIFS('2025-2026 Tracker'!$K$2:$K$5000,'2025-2026 Tracker'!$B$2:$B$5000,"Income",'2025-2026 Tracker'!$E$2:$E$5000,$A10,'2025-2026 Tracker'!$M$2:$M$5000,"Expected"))</f>
        <v>0</v>
      </c>
      <c r="I10" s="33" t="s">
        <v>191</v>
      </c>
      <c r="J10" s="33"/>
      <c r="K10" s="33"/>
      <c r="L10" s="33"/>
      <c r="M10" s="33"/>
      <c r="N10" s="33"/>
      <c r="O10" s="33"/>
      <c r="P10" s="33"/>
      <c r="Q10" s="33"/>
      <c r="R10" s="21" t="s">
        <v>192</v>
      </c>
    </row>
    <row r="11">
      <c r="A11" s="33" t="s">
        <v>196</v>
      </c>
      <c r="B11" s="33"/>
      <c r="C11" s="33"/>
      <c r="D11" s="33" t="s">
        <v>159</v>
      </c>
      <c r="E11" s="34">
        <f>IF($A11="","",SUMIFS('2023-2024 Tracker'!$K$2:$K$5000,'2023-2024 Tracker'!$B$2:$B$5000,"Income",'2023-2024 Tracker'!$E$2:$E$5000,$A11,'2023-2024 Tracker'!$M$2:$M$5000,"Cleared")+SUMIFS('2025-2026 Tracker'!$K$2:$K$5000,'2025-2026 Tracker'!$B$2:$B$5000,"Income",'2025-2026 Tracker'!$E$2:$E$5000,$A11,'2025-2026 Tracker'!$M$2:$M$5000,"Cleared"))</f>
        <v>0</v>
      </c>
      <c r="F11" s="34">
        <f>IF($A11="","",SUMIFS('2023-2024 Tracker'!$K$2:$K$5000,'2023-2024 Tracker'!$B$2:$B$5000,"Expense",'2023-2024 Tracker'!$E$2:$E$5000,$A11,'2023-2024 Tracker'!$M$2:$M$5000,"Cleared")+SUMIFS('2025-2026 Tracker'!$K$2:$K$5000,'2025-2026 Tracker'!$B$2:$B$5000,"Expense",'2025-2026 Tracker'!$E$2:$E$5000,$A11,'2025-2026 Tracker'!$M$2:$M$5000,"Cleared"))</f>
        <v>0</v>
      </c>
      <c r="G11" s="34">
        <f t="shared" si="1"/>
        <v>0</v>
      </c>
      <c r="H11" s="34">
        <f>IF($A11="","",SUMIFS('2023-2024 Tracker'!$K$2:$K$5000,'2023-2024 Tracker'!$B$2:$B$5000,"Income",'2023-2024 Tracker'!$E$2:$E$5000,$A11,'2023-2024 Tracker'!$M$2:$M$5000,"Pending")+SUMIFS('2023-2024 Tracker'!$K$2:$K$5000,'2023-2024 Tracker'!$B$2:$B$5000,"Income",'2023-2024 Tracker'!$E$2:$E$5000,$A11,'2023-2024 Tracker'!$M$2:$M$5000,"Expected")+SUMIFS('2025-2026 Tracker'!$K$2:$K$5000,'2025-2026 Tracker'!$B$2:$B$5000,"Income",'2025-2026 Tracker'!$E$2:$E$5000,$A11,'2025-2026 Tracker'!$M$2:$M$5000,"Pending")+SUMIFS('2025-2026 Tracker'!$K$2:$K$5000,'2025-2026 Tracker'!$B$2:$B$5000,"Income",'2025-2026 Tracker'!$E$2:$E$5000,$A11,'2025-2026 Tracker'!$M$2:$M$5000,"Expected"))</f>
        <v>0</v>
      </c>
      <c r="I11" s="33" t="s">
        <v>191</v>
      </c>
      <c r="J11" s="33"/>
      <c r="K11" s="33"/>
      <c r="L11" s="33"/>
      <c r="M11" s="33"/>
      <c r="N11" s="33"/>
      <c r="O11" s="33"/>
      <c r="P11" s="33"/>
      <c r="Q11" s="33"/>
      <c r="R11" s="21" t="s">
        <v>192</v>
      </c>
    </row>
    <row r="12">
      <c r="A12" s="33" t="s">
        <v>197</v>
      </c>
      <c r="B12" s="33"/>
      <c r="C12" s="33"/>
      <c r="D12" s="33"/>
      <c r="E12" s="35">
        <f>IF($A12="","",SUMIFS('2023-2024 Tracker'!$K$2:$K$5000,'2023-2024 Tracker'!$B$2:$B$5000,"Income",'2023-2024 Tracker'!$E$2:$E$5000,$A12,'2023-2024 Tracker'!$M$2:$M$5000,"Cleared")+SUMIFS('2025-2026 Tracker'!$K$2:$K$5000,'2025-2026 Tracker'!$B$2:$B$5000,"Income",'2025-2026 Tracker'!$E$2:$E$5000,$A12,'2025-2026 Tracker'!$M$2:$M$5000,"Cleared"))</f>
        <v>0</v>
      </c>
      <c r="F12" s="35">
        <f>IF($A12="","",SUMIFS('2023-2024 Tracker'!$K$2:$K$5000,'2023-2024 Tracker'!$B$2:$B$5000,"Expense",'2023-2024 Tracker'!$E$2:$E$5000,$A12,'2023-2024 Tracker'!$M$2:$M$5000,"Cleared")+SUMIFS('2025-2026 Tracker'!$K$2:$K$5000,'2025-2026 Tracker'!$B$2:$B$5000,"Expense",'2025-2026 Tracker'!$E$2:$E$5000,$A12,'2025-2026 Tracker'!$M$2:$M$5000,"Cleared"))</f>
        <v>0</v>
      </c>
      <c r="G12" s="35">
        <f t="shared" si="1"/>
        <v>0</v>
      </c>
      <c r="H12" s="35">
        <f>IF($A12="","",SUMIFS('2023-2024 Tracker'!$K$2:$K$5000,'2023-2024 Tracker'!$B$2:$B$5000,"Income",'2023-2024 Tracker'!$E$2:$E$5000,$A12,'2023-2024 Tracker'!$M$2:$M$5000,"Pending")+SUMIFS('2023-2024 Tracker'!$K$2:$K$5000,'2023-2024 Tracker'!$B$2:$B$5000,"Income",'2023-2024 Tracker'!$E$2:$E$5000,$A12,'2023-2024 Tracker'!$M$2:$M$5000,"Expected")+SUMIFS('2025-2026 Tracker'!$K$2:$K$5000,'2025-2026 Tracker'!$B$2:$B$5000,"Income",'2025-2026 Tracker'!$E$2:$E$5000,$A12,'2025-2026 Tracker'!$M$2:$M$5000,"Pending")+SUMIFS('2025-2026 Tracker'!$K$2:$K$5000,'2025-2026 Tracker'!$B$2:$B$5000,"Income",'2025-2026 Tracker'!$E$2:$E$5000,$A12,'2025-2026 Tracker'!$M$2:$M$5000,"Expected"))</f>
        <v>0</v>
      </c>
      <c r="I12" s="33" t="s">
        <v>191</v>
      </c>
      <c r="J12" s="33"/>
      <c r="K12" s="33"/>
      <c r="L12" s="33"/>
      <c r="M12" s="33"/>
      <c r="N12" s="33"/>
      <c r="O12" s="33"/>
      <c r="P12" s="33"/>
      <c r="Q12" s="33"/>
      <c r="R12" s="21" t="s">
        <v>198</v>
      </c>
    </row>
    <row r="13">
      <c r="A13" s="33" t="s">
        <v>199</v>
      </c>
      <c r="B13" s="33"/>
      <c r="C13" s="33"/>
      <c r="D13" s="33"/>
      <c r="E13" s="35">
        <f>IF($A13="","",SUMIFS('2023-2024 Tracker'!$K$2:$K$5000,'2023-2024 Tracker'!$B$2:$B$5000,"Income",'2023-2024 Tracker'!$E$2:$E$5000,$A13,'2023-2024 Tracker'!$M$2:$M$5000,"Cleared")+SUMIFS('2025-2026 Tracker'!$K$2:$K$5000,'2025-2026 Tracker'!$B$2:$B$5000,"Income",'2025-2026 Tracker'!$E$2:$E$5000,$A13,'2025-2026 Tracker'!$M$2:$M$5000,"Cleared"))</f>
        <v>0</v>
      </c>
      <c r="F13" s="35">
        <f>IF($A13="","",SUMIFS('2023-2024 Tracker'!$K$2:$K$5000,'2023-2024 Tracker'!$B$2:$B$5000,"Expense",'2023-2024 Tracker'!$E$2:$E$5000,$A13,'2023-2024 Tracker'!$M$2:$M$5000,"Cleared")+SUMIFS('2025-2026 Tracker'!$K$2:$K$5000,'2025-2026 Tracker'!$B$2:$B$5000,"Expense",'2025-2026 Tracker'!$E$2:$E$5000,$A13,'2025-2026 Tracker'!$M$2:$M$5000,"Cleared"))</f>
        <v>0</v>
      </c>
      <c r="G13" s="35">
        <f t="shared" si="1"/>
        <v>0</v>
      </c>
      <c r="H13" s="35">
        <f>IF($A13="","",SUMIFS('2023-2024 Tracker'!$K$2:$K$5000,'2023-2024 Tracker'!$B$2:$B$5000,"Income",'2023-2024 Tracker'!$E$2:$E$5000,$A13,'2023-2024 Tracker'!$M$2:$M$5000,"Pending")+SUMIFS('2023-2024 Tracker'!$K$2:$K$5000,'2023-2024 Tracker'!$B$2:$B$5000,"Income",'2023-2024 Tracker'!$E$2:$E$5000,$A13,'2023-2024 Tracker'!$M$2:$M$5000,"Expected")+SUMIFS('2025-2026 Tracker'!$K$2:$K$5000,'2025-2026 Tracker'!$B$2:$B$5000,"Income",'2025-2026 Tracker'!$E$2:$E$5000,$A13,'2025-2026 Tracker'!$M$2:$M$5000,"Pending")+SUMIFS('2025-2026 Tracker'!$K$2:$K$5000,'2025-2026 Tracker'!$B$2:$B$5000,"Income",'2025-2026 Tracker'!$E$2:$E$5000,$A13,'2025-2026 Tracker'!$M$2:$M$5000,"Expected"))</f>
        <v>0</v>
      </c>
      <c r="I13" s="33" t="s">
        <v>191</v>
      </c>
      <c r="J13" s="33"/>
      <c r="K13" s="33"/>
      <c r="L13" s="33"/>
      <c r="M13" s="33"/>
      <c r="N13" s="33"/>
      <c r="O13" s="33"/>
      <c r="P13" s="33"/>
      <c r="Q13" s="33"/>
      <c r="R13" s="21" t="s">
        <v>198</v>
      </c>
    </row>
    <row r="14">
      <c r="A14" s="33" t="s">
        <v>200</v>
      </c>
      <c r="B14" s="33"/>
      <c r="C14" s="33"/>
      <c r="D14" s="33"/>
      <c r="E14" s="35">
        <f>IF($A14="","",SUMIFS('2023-2024 Tracker'!$K$2:$K$5000,'2023-2024 Tracker'!$B$2:$B$5000,"Income",'2023-2024 Tracker'!$E$2:$E$5000,$A14,'2023-2024 Tracker'!$M$2:$M$5000,"Cleared")+SUMIFS('2025-2026 Tracker'!$K$2:$K$5000,'2025-2026 Tracker'!$B$2:$B$5000,"Income",'2025-2026 Tracker'!$E$2:$E$5000,$A14,'2025-2026 Tracker'!$M$2:$M$5000,"Cleared"))</f>
        <v>0</v>
      </c>
      <c r="F14" s="35">
        <f>IF($A14="","",SUMIFS('2023-2024 Tracker'!$K$2:$K$5000,'2023-2024 Tracker'!$B$2:$B$5000,"Expense",'2023-2024 Tracker'!$E$2:$E$5000,$A14,'2023-2024 Tracker'!$M$2:$M$5000,"Cleared")+SUMIFS('2025-2026 Tracker'!$K$2:$K$5000,'2025-2026 Tracker'!$B$2:$B$5000,"Expense",'2025-2026 Tracker'!$E$2:$E$5000,$A14,'2025-2026 Tracker'!$M$2:$M$5000,"Cleared"))</f>
        <v>0</v>
      </c>
      <c r="G14" s="35">
        <f t="shared" si="1"/>
        <v>0</v>
      </c>
      <c r="H14" s="35">
        <f>IF($A14="","",SUMIFS('2023-2024 Tracker'!$K$2:$K$5000,'2023-2024 Tracker'!$B$2:$B$5000,"Income",'2023-2024 Tracker'!$E$2:$E$5000,$A14,'2023-2024 Tracker'!$M$2:$M$5000,"Pending")+SUMIFS('2023-2024 Tracker'!$K$2:$K$5000,'2023-2024 Tracker'!$B$2:$B$5000,"Income",'2023-2024 Tracker'!$E$2:$E$5000,$A14,'2023-2024 Tracker'!$M$2:$M$5000,"Expected")+SUMIFS('2025-2026 Tracker'!$K$2:$K$5000,'2025-2026 Tracker'!$B$2:$B$5000,"Income",'2025-2026 Tracker'!$E$2:$E$5000,$A14,'2025-2026 Tracker'!$M$2:$M$5000,"Pending")+SUMIFS('2025-2026 Tracker'!$K$2:$K$5000,'2025-2026 Tracker'!$B$2:$B$5000,"Income",'2025-2026 Tracker'!$E$2:$E$5000,$A14,'2025-2026 Tracker'!$M$2:$M$5000,"Expected"))</f>
        <v>0</v>
      </c>
      <c r="I14" s="33" t="s">
        <v>191</v>
      </c>
      <c r="J14" s="33"/>
      <c r="K14" s="33"/>
      <c r="L14" s="33"/>
      <c r="M14" s="33"/>
      <c r="N14" s="33"/>
      <c r="O14" s="33"/>
      <c r="P14" s="33"/>
      <c r="Q14" s="33"/>
      <c r="R14" s="21" t="s">
        <v>198</v>
      </c>
    </row>
    <row r="15">
      <c r="A15" s="33" t="s">
        <v>201</v>
      </c>
      <c r="B15" s="33"/>
      <c r="C15" s="33"/>
      <c r="D15" s="33"/>
      <c r="E15" s="35">
        <f>IF($A15="","",SUMIFS('2023-2024 Tracker'!$K$2:$K$5000,'2023-2024 Tracker'!$B$2:$B$5000,"Income",'2023-2024 Tracker'!$E$2:$E$5000,$A15,'2023-2024 Tracker'!$M$2:$M$5000,"Cleared")+SUMIFS('2025-2026 Tracker'!$K$2:$K$5000,'2025-2026 Tracker'!$B$2:$B$5000,"Income",'2025-2026 Tracker'!$E$2:$E$5000,$A15,'2025-2026 Tracker'!$M$2:$M$5000,"Cleared"))</f>
        <v>0</v>
      </c>
      <c r="F15" s="35">
        <f>IF($A15="","",SUMIFS('2023-2024 Tracker'!$K$2:$K$5000,'2023-2024 Tracker'!$B$2:$B$5000,"Expense",'2023-2024 Tracker'!$E$2:$E$5000,$A15,'2023-2024 Tracker'!$M$2:$M$5000,"Cleared")+SUMIFS('2025-2026 Tracker'!$K$2:$K$5000,'2025-2026 Tracker'!$B$2:$B$5000,"Expense",'2025-2026 Tracker'!$E$2:$E$5000,$A15,'2025-2026 Tracker'!$M$2:$M$5000,"Cleared"))</f>
        <v>0</v>
      </c>
      <c r="G15" s="35">
        <f t="shared" si="1"/>
        <v>0</v>
      </c>
      <c r="H15" s="35">
        <f>IF($A15="","",SUMIFS('2023-2024 Tracker'!$K$2:$K$5000,'2023-2024 Tracker'!$B$2:$B$5000,"Income",'2023-2024 Tracker'!$E$2:$E$5000,$A15,'2023-2024 Tracker'!$M$2:$M$5000,"Pending")+SUMIFS('2023-2024 Tracker'!$K$2:$K$5000,'2023-2024 Tracker'!$B$2:$B$5000,"Income",'2023-2024 Tracker'!$E$2:$E$5000,$A15,'2023-2024 Tracker'!$M$2:$M$5000,"Expected")+SUMIFS('2025-2026 Tracker'!$K$2:$K$5000,'2025-2026 Tracker'!$B$2:$B$5000,"Income",'2025-2026 Tracker'!$E$2:$E$5000,$A15,'2025-2026 Tracker'!$M$2:$M$5000,"Pending")+SUMIFS('2025-2026 Tracker'!$K$2:$K$5000,'2025-2026 Tracker'!$B$2:$B$5000,"Income",'2025-2026 Tracker'!$E$2:$E$5000,$A15,'2025-2026 Tracker'!$M$2:$M$5000,"Expected"))</f>
        <v>0</v>
      </c>
      <c r="I15" s="33" t="s">
        <v>191</v>
      </c>
      <c r="J15" s="33"/>
      <c r="K15" s="33"/>
      <c r="L15" s="33"/>
      <c r="M15" s="33"/>
      <c r="N15" s="33"/>
      <c r="O15" s="33"/>
      <c r="P15" s="33"/>
      <c r="Q15" s="33"/>
      <c r="R15" s="21" t="s">
        <v>198</v>
      </c>
    </row>
    <row r="16">
      <c r="A16" s="33"/>
      <c r="B16" s="33"/>
      <c r="C16" s="33"/>
      <c r="D16" s="33"/>
      <c r="E16" s="36" t="str">
        <f t="shared" ref="E16:E200" si="2">IF($A16="","",SUMIFS('2023 Financial Tracker'!$H$26:$H$525,'2023 Financial Tracker'!$B$26:$B$525,"Income",'2023 Financial Tracker'!$E$26:$E$525,$A16,'2023 Financial Tracker'!$J$26:$J$525,"Cleared")+SUMIFS('2024 Financial Tracker'!$H$26:$H$525,'2024 Financial Tracker'!$B$26:$B$525,"Income",'2024 Financial Tracker'!$E$26:$E$525,$A16,'2024 Financial Tracker'!$J$26:$J$525,"Cleared")+SUMIFS('2025 Financial Tracker'!$H$26:$H$525,'2025 Financial Tracker'!$B$26:$B$525,"Income",'2025 Financial Tracker'!$E$26:$E$525,$A16,'2025 Financial Tracker'!$J$26:$J$525,"Cleared")+SUMIFS('2026 Financial Tracker'!$H$26:$H$525,'2026 Financial Tracker'!$B$26:$B$525,"Income",'2026 Financial Tracker'!$E$26:$E$525,$A16,'2026 Financial Tracker'!$J$26:$J$525,"Cleared"))</f>
        <v/>
      </c>
      <c r="F16" s="36" t="str">
        <f t="shared" ref="F16:F200" si="3">IF($A16="","",SUMIFS('2023 Financial Tracker'!$H$26:$H$525,'2023 Financial Tracker'!$B$26:$B$525,"Expense",'2023 Financial Tracker'!$E$26:$E$525,$A16,'2023 Financial Tracker'!$J$26:$J$525,"Cleared")+SUMIFS('2024 Financial Tracker'!$H$26:$H$525,'2024 Financial Tracker'!$B$26:$B$525,"Expense",'2024 Financial Tracker'!$E$26:$E$525,$A16,'2024 Financial Tracker'!$J$26:$J$525,"Cleared")+SUMIFS('2025 Financial Tracker'!$H$26:$H$525,'2025 Financial Tracker'!$B$26:$B$525,"Expense",'2025 Financial Tracker'!$E$26:$E$525,$A16,'2025 Financial Tracker'!$J$26:$J$525,"Cleared")+SUMIFS('2026 Financial Tracker'!$H$26:$H$525,'2026 Financial Tracker'!$B$26:$B$525,"Expense",'2026 Financial Tracker'!$E$26:$E$525,$A16,'2026 Financial Tracker'!$J$26:$J$525,"Cleared"))</f>
        <v/>
      </c>
      <c r="G16" s="36" t="str">
        <f t="shared" si="1"/>
        <v/>
      </c>
      <c r="H16" s="36" t="str">
        <f t="shared" ref="H16:H200" si="4">IF($A16="","",SUMIFS('2023 Financial Tracker'!$H$26:$H$525,'2023 Financial Tracker'!$B$26:$B$525,"Income",'2023 Financial Tracker'!$E$26:$E$525,$A16,'2023 Financial Tracker'!$J$26:$J$525,"Pending")+SUMIFS('2023 Financial Tracker'!$H$26:$H$525,'2023 Financial Tracker'!$B$26:$B$525,"Income",'2023 Financial Tracker'!$E$26:$E$525,$A16,'2023 Financial Tracker'!$J$26:$J$525,"Expected")+SUMIFS('2024 Financial Tracker'!$H$26:$H$525,'2024 Financial Tracker'!$B$26:$B$525,"Income",'2024 Financial Tracker'!$E$26:$E$525,$A16,'2024 Financial Tracker'!$J$26:$J$525,"Pending")+SUMIFS('2024 Financial Tracker'!$H$26:$H$525,'2024 Financial Tracker'!$B$26:$B$525,"Income",'2024 Financial Tracker'!$E$26:$E$525,$A16,'2024 Financial Tracker'!$J$26:$J$525,"Expected")+SUMIFS('2025 Financial Tracker'!$H$26:$H$525,'2025 Financial Tracker'!$B$26:$B$525,"Income",'2025 Financial Tracker'!$E$26:$E$525,$A16,'2025 Financial Tracker'!$J$26:$J$525,"Pending")+SUMIFS('2025 Financial Tracker'!$H$26:$H$525,'2025 Financial Tracker'!$B$26:$B$525,"Income",'2025 Financial Tracker'!$E$26:$E$525,$A16,'2025 Financial Tracker'!$J$26:$J$525,"Expected")+SUMIFS('2026 Financial Tracker'!$H$26:$H$525,'2026 Financial Tracker'!$B$26:$B$525,"Income",'2026 Financial Tracker'!$E$26:$E$525,$A16,'2026 Financial Tracker'!$J$26:$J$525,"Pending")+SUMIFS('2026 Financial Tracker'!$H$26:$H$525,'2026 Financial Tracker'!$B$26:$B$525,"Income",'2026 Financial Tracker'!$E$26:$E$525,$A16,'2026 Financial Tracker'!$J$26:$J$525,"Expected"))</f>
        <v/>
      </c>
      <c r="I16" s="33"/>
      <c r="J16" s="33"/>
      <c r="K16" s="33"/>
      <c r="L16" s="33"/>
      <c r="M16" s="33"/>
      <c r="N16" s="33"/>
      <c r="O16" s="33"/>
      <c r="P16" s="33"/>
      <c r="Q16" s="33"/>
      <c r="R16" s="8"/>
    </row>
    <row r="17">
      <c r="A17" s="33"/>
      <c r="B17" s="33"/>
      <c r="C17" s="33"/>
      <c r="D17" s="33"/>
      <c r="E17" s="36" t="str">
        <f t="shared" si="2"/>
        <v/>
      </c>
      <c r="F17" s="36" t="str">
        <f t="shared" si="3"/>
        <v/>
      </c>
      <c r="G17" s="36" t="str">
        <f t="shared" si="1"/>
        <v/>
      </c>
      <c r="H17" s="36" t="str">
        <f t="shared" si="4"/>
        <v/>
      </c>
      <c r="I17" s="33"/>
      <c r="J17" s="33"/>
      <c r="K17" s="33"/>
      <c r="L17" s="33"/>
      <c r="M17" s="33"/>
      <c r="N17" s="33"/>
      <c r="O17" s="33"/>
      <c r="P17" s="33"/>
      <c r="Q17" s="33"/>
      <c r="R17" s="8"/>
    </row>
    <row r="18">
      <c r="A18" s="33"/>
      <c r="B18" s="33"/>
      <c r="C18" s="33"/>
      <c r="D18" s="33"/>
      <c r="E18" s="36" t="str">
        <f t="shared" si="2"/>
        <v/>
      </c>
      <c r="F18" s="36" t="str">
        <f t="shared" si="3"/>
        <v/>
      </c>
      <c r="G18" s="36" t="str">
        <f t="shared" si="1"/>
        <v/>
      </c>
      <c r="H18" s="36" t="str">
        <f t="shared" si="4"/>
        <v/>
      </c>
      <c r="I18" s="33"/>
      <c r="J18" s="33"/>
      <c r="K18" s="33"/>
      <c r="L18" s="33"/>
      <c r="M18" s="33"/>
      <c r="N18" s="33"/>
      <c r="O18" s="33"/>
      <c r="P18" s="33"/>
      <c r="Q18" s="33"/>
      <c r="R18" s="8"/>
    </row>
    <row r="19">
      <c r="A19" s="33"/>
      <c r="B19" s="33"/>
      <c r="C19" s="33"/>
      <c r="D19" s="33"/>
      <c r="E19" s="36" t="str">
        <f t="shared" si="2"/>
        <v/>
      </c>
      <c r="F19" s="36" t="str">
        <f t="shared" si="3"/>
        <v/>
      </c>
      <c r="G19" s="36" t="str">
        <f t="shared" si="1"/>
        <v/>
      </c>
      <c r="H19" s="36" t="str">
        <f t="shared" si="4"/>
        <v/>
      </c>
      <c r="I19" s="33"/>
      <c r="J19" s="33"/>
      <c r="K19" s="33"/>
      <c r="L19" s="33"/>
      <c r="M19" s="33"/>
      <c r="N19" s="33"/>
      <c r="O19" s="33"/>
      <c r="P19" s="33"/>
      <c r="Q19" s="33"/>
      <c r="R19" s="8"/>
    </row>
    <row r="20">
      <c r="A20" s="33"/>
      <c r="B20" s="33"/>
      <c r="C20" s="33"/>
      <c r="D20" s="33"/>
      <c r="E20" s="36" t="str">
        <f t="shared" si="2"/>
        <v/>
      </c>
      <c r="F20" s="36" t="str">
        <f t="shared" si="3"/>
        <v/>
      </c>
      <c r="G20" s="36" t="str">
        <f t="shared" si="1"/>
        <v/>
      </c>
      <c r="H20" s="36" t="str">
        <f t="shared" si="4"/>
        <v/>
      </c>
      <c r="I20" s="33"/>
      <c r="J20" s="33"/>
      <c r="K20" s="33"/>
      <c r="L20" s="33"/>
      <c r="M20" s="33"/>
      <c r="N20" s="33"/>
      <c r="O20" s="33"/>
      <c r="P20" s="33"/>
      <c r="Q20" s="33"/>
      <c r="R20" s="8"/>
    </row>
    <row r="21" ht="15.75" customHeight="1">
      <c r="A21" s="33"/>
      <c r="B21" s="33"/>
      <c r="C21" s="33"/>
      <c r="D21" s="33"/>
      <c r="E21" s="36" t="str">
        <f t="shared" si="2"/>
        <v/>
      </c>
      <c r="F21" s="36" t="str">
        <f t="shared" si="3"/>
        <v/>
      </c>
      <c r="G21" s="36" t="str">
        <f t="shared" si="1"/>
        <v/>
      </c>
      <c r="H21" s="36" t="str">
        <f t="shared" si="4"/>
        <v/>
      </c>
      <c r="I21" s="33"/>
      <c r="J21" s="33"/>
      <c r="K21" s="33"/>
      <c r="L21" s="33"/>
      <c r="M21" s="33"/>
      <c r="N21" s="33"/>
      <c r="O21" s="33"/>
      <c r="P21" s="33"/>
      <c r="Q21" s="33"/>
      <c r="R21" s="8"/>
    </row>
    <row r="22" ht="15.75" customHeight="1">
      <c r="A22" s="33"/>
      <c r="B22" s="33"/>
      <c r="C22" s="33"/>
      <c r="D22" s="33"/>
      <c r="E22" s="36" t="str">
        <f t="shared" si="2"/>
        <v/>
      </c>
      <c r="F22" s="36" t="str">
        <f t="shared" si="3"/>
        <v/>
      </c>
      <c r="G22" s="36" t="str">
        <f t="shared" si="1"/>
        <v/>
      </c>
      <c r="H22" s="36" t="str">
        <f t="shared" si="4"/>
        <v/>
      </c>
      <c r="I22" s="33"/>
      <c r="J22" s="33"/>
      <c r="K22" s="33"/>
      <c r="L22" s="33"/>
      <c r="M22" s="33"/>
      <c r="N22" s="33"/>
      <c r="O22" s="33"/>
      <c r="P22" s="33"/>
      <c r="Q22" s="33"/>
      <c r="R22" s="8"/>
    </row>
    <row r="23" ht="15.75" customHeight="1">
      <c r="A23" s="33"/>
      <c r="B23" s="33"/>
      <c r="C23" s="33"/>
      <c r="D23" s="33"/>
      <c r="E23" s="36" t="str">
        <f t="shared" si="2"/>
        <v/>
      </c>
      <c r="F23" s="36" t="str">
        <f t="shared" si="3"/>
        <v/>
      </c>
      <c r="G23" s="36" t="str">
        <f t="shared" si="1"/>
        <v/>
      </c>
      <c r="H23" s="36" t="str">
        <f t="shared" si="4"/>
        <v/>
      </c>
      <c r="I23" s="33"/>
      <c r="J23" s="33"/>
      <c r="K23" s="33"/>
      <c r="L23" s="33"/>
      <c r="M23" s="33"/>
      <c r="N23" s="33"/>
      <c r="O23" s="33"/>
      <c r="P23" s="33"/>
      <c r="Q23" s="33"/>
      <c r="R23" s="8"/>
    </row>
    <row r="24" ht="15.75" customHeight="1">
      <c r="A24" s="33"/>
      <c r="B24" s="33"/>
      <c r="C24" s="33"/>
      <c r="D24" s="33"/>
      <c r="E24" s="36" t="str">
        <f t="shared" si="2"/>
        <v/>
      </c>
      <c r="F24" s="36" t="str">
        <f t="shared" si="3"/>
        <v/>
      </c>
      <c r="G24" s="36" t="str">
        <f t="shared" si="1"/>
        <v/>
      </c>
      <c r="H24" s="36" t="str">
        <f t="shared" si="4"/>
        <v/>
      </c>
      <c r="I24" s="33"/>
      <c r="J24" s="33"/>
      <c r="K24" s="33"/>
      <c r="L24" s="33"/>
      <c r="M24" s="33"/>
      <c r="N24" s="33"/>
      <c r="O24" s="33"/>
      <c r="P24" s="33"/>
      <c r="Q24" s="33"/>
      <c r="R24" s="8"/>
    </row>
    <row r="25" ht="15.75" customHeight="1">
      <c r="A25" s="33"/>
      <c r="B25" s="33"/>
      <c r="C25" s="33"/>
      <c r="D25" s="33"/>
      <c r="E25" s="36" t="str">
        <f t="shared" si="2"/>
        <v/>
      </c>
      <c r="F25" s="36" t="str">
        <f t="shared" si="3"/>
        <v/>
      </c>
      <c r="G25" s="36" t="str">
        <f t="shared" si="1"/>
        <v/>
      </c>
      <c r="H25" s="36" t="str">
        <f t="shared" si="4"/>
        <v/>
      </c>
      <c r="I25" s="33"/>
      <c r="J25" s="33"/>
      <c r="K25" s="33"/>
      <c r="L25" s="33"/>
      <c r="M25" s="33"/>
      <c r="N25" s="33"/>
      <c r="O25" s="33"/>
      <c r="P25" s="33"/>
      <c r="Q25" s="33"/>
      <c r="R25" s="8"/>
    </row>
    <row r="26" ht="15.75" customHeight="1">
      <c r="A26" s="33"/>
      <c r="B26" s="33"/>
      <c r="C26" s="33"/>
      <c r="D26" s="33"/>
      <c r="E26" s="36" t="str">
        <f t="shared" si="2"/>
        <v/>
      </c>
      <c r="F26" s="36" t="str">
        <f t="shared" si="3"/>
        <v/>
      </c>
      <c r="G26" s="36" t="str">
        <f t="shared" si="1"/>
        <v/>
      </c>
      <c r="H26" s="36" t="str">
        <f t="shared" si="4"/>
        <v/>
      </c>
      <c r="I26" s="33"/>
      <c r="J26" s="33"/>
      <c r="K26" s="33"/>
      <c r="L26" s="33"/>
      <c r="M26" s="33"/>
      <c r="N26" s="33"/>
      <c r="O26" s="33"/>
      <c r="P26" s="33"/>
      <c r="Q26" s="33"/>
      <c r="R26" s="8"/>
    </row>
    <row r="27" ht="15.75" customHeight="1">
      <c r="A27" s="33"/>
      <c r="B27" s="33"/>
      <c r="C27" s="33"/>
      <c r="D27" s="33"/>
      <c r="E27" s="36" t="str">
        <f t="shared" si="2"/>
        <v/>
      </c>
      <c r="F27" s="36" t="str">
        <f t="shared" si="3"/>
        <v/>
      </c>
      <c r="G27" s="36" t="str">
        <f t="shared" si="1"/>
        <v/>
      </c>
      <c r="H27" s="36" t="str">
        <f t="shared" si="4"/>
        <v/>
      </c>
      <c r="I27" s="33"/>
      <c r="J27" s="33"/>
      <c r="K27" s="33"/>
      <c r="L27" s="33"/>
      <c r="M27" s="33"/>
      <c r="N27" s="33"/>
      <c r="O27" s="33"/>
      <c r="P27" s="33"/>
      <c r="Q27" s="33"/>
      <c r="R27" s="8"/>
    </row>
    <row r="28" ht="15.75" customHeight="1">
      <c r="A28" s="33"/>
      <c r="B28" s="33"/>
      <c r="C28" s="33"/>
      <c r="D28" s="33"/>
      <c r="E28" s="36" t="str">
        <f t="shared" si="2"/>
        <v/>
      </c>
      <c r="F28" s="36" t="str">
        <f t="shared" si="3"/>
        <v/>
      </c>
      <c r="G28" s="36" t="str">
        <f t="shared" si="1"/>
        <v/>
      </c>
      <c r="H28" s="36" t="str">
        <f t="shared" si="4"/>
        <v/>
      </c>
      <c r="I28" s="33"/>
      <c r="J28" s="33"/>
      <c r="K28" s="33"/>
      <c r="L28" s="33"/>
      <c r="M28" s="33"/>
      <c r="N28" s="33"/>
      <c r="O28" s="33"/>
      <c r="P28" s="33"/>
      <c r="Q28" s="33"/>
      <c r="R28" s="8"/>
    </row>
    <row r="29" ht="15.75" customHeight="1">
      <c r="A29" s="33"/>
      <c r="B29" s="33"/>
      <c r="C29" s="33"/>
      <c r="D29" s="33"/>
      <c r="E29" s="36" t="str">
        <f t="shared" si="2"/>
        <v/>
      </c>
      <c r="F29" s="36" t="str">
        <f t="shared" si="3"/>
        <v/>
      </c>
      <c r="G29" s="36" t="str">
        <f t="shared" si="1"/>
        <v/>
      </c>
      <c r="H29" s="36" t="str">
        <f t="shared" si="4"/>
        <v/>
      </c>
      <c r="I29" s="33"/>
      <c r="J29" s="33"/>
      <c r="K29" s="33"/>
      <c r="L29" s="33"/>
      <c r="M29" s="33"/>
      <c r="N29" s="33"/>
      <c r="O29" s="33"/>
      <c r="P29" s="33"/>
      <c r="Q29" s="33"/>
      <c r="R29" s="8"/>
    </row>
    <row r="30" ht="15.75" customHeight="1">
      <c r="A30" s="33"/>
      <c r="B30" s="33"/>
      <c r="C30" s="33"/>
      <c r="D30" s="33"/>
      <c r="E30" s="36" t="str">
        <f t="shared" si="2"/>
        <v/>
      </c>
      <c r="F30" s="36" t="str">
        <f t="shared" si="3"/>
        <v/>
      </c>
      <c r="G30" s="36" t="str">
        <f t="shared" si="1"/>
        <v/>
      </c>
      <c r="H30" s="36" t="str">
        <f t="shared" si="4"/>
        <v/>
      </c>
      <c r="I30" s="33"/>
      <c r="J30" s="33"/>
      <c r="K30" s="33"/>
      <c r="L30" s="33"/>
      <c r="M30" s="33"/>
      <c r="N30" s="33"/>
      <c r="O30" s="33"/>
      <c r="P30" s="33"/>
      <c r="Q30" s="33"/>
      <c r="R30" s="8"/>
    </row>
    <row r="31" ht="15.75" customHeight="1">
      <c r="A31" s="33"/>
      <c r="B31" s="33"/>
      <c r="C31" s="33"/>
      <c r="D31" s="33"/>
      <c r="E31" s="36" t="str">
        <f t="shared" si="2"/>
        <v/>
      </c>
      <c r="F31" s="36" t="str">
        <f t="shared" si="3"/>
        <v/>
      </c>
      <c r="G31" s="36" t="str">
        <f t="shared" si="1"/>
        <v/>
      </c>
      <c r="H31" s="36" t="str">
        <f t="shared" si="4"/>
        <v/>
      </c>
      <c r="I31" s="33"/>
      <c r="J31" s="33"/>
      <c r="K31" s="33"/>
      <c r="L31" s="33"/>
      <c r="M31" s="33"/>
      <c r="N31" s="33"/>
      <c r="O31" s="33"/>
      <c r="P31" s="33"/>
      <c r="Q31" s="33"/>
      <c r="R31" s="8"/>
    </row>
    <row r="32" ht="15.75" customHeight="1">
      <c r="A32" s="33"/>
      <c r="B32" s="33"/>
      <c r="C32" s="33"/>
      <c r="D32" s="33"/>
      <c r="E32" s="36" t="str">
        <f t="shared" si="2"/>
        <v/>
      </c>
      <c r="F32" s="36" t="str">
        <f t="shared" si="3"/>
        <v/>
      </c>
      <c r="G32" s="36" t="str">
        <f t="shared" si="1"/>
        <v/>
      </c>
      <c r="H32" s="36" t="str">
        <f t="shared" si="4"/>
        <v/>
      </c>
      <c r="I32" s="33"/>
      <c r="J32" s="33"/>
      <c r="K32" s="33"/>
      <c r="L32" s="33"/>
      <c r="M32" s="33"/>
      <c r="N32" s="33"/>
      <c r="O32" s="33"/>
      <c r="P32" s="33"/>
      <c r="Q32" s="33"/>
      <c r="R32" s="8"/>
    </row>
    <row r="33" ht="15.75" customHeight="1">
      <c r="A33" s="33"/>
      <c r="B33" s="33"/>
      <c r="C33" s="33"/>
      <c r="D33" s="33"/>
      <c r="E33" s="36" t="str">
        <f t="shared" si="2"/>
        <v/>
      </c>
      <c r="F33" s="36" t="str">
        <f t="shared" si="3"/>
        <v/>
      </c>
      <c r="G33" s="36" t="str">
        <f t="shared" si="1"/>
        <v/>
      </c>
      <c r="H33" s="36" t="str">
        <f t="shared" si="4"/>
        <v/>
      </c>
      <c r="I33" s="33"/>
      <c r="J33" s="33"/>
      <c r="K33" s="33"/>
      <c r="L33" s="33"/>
      <c r="M33" s="33"/>
      <c r="N33" s="33"/>
      <c r="O33" s="33"/>
      <c r="P33" s="33"/>
      <c r="Q33" s="33"/>
      <c r="R33" s="8"/>
    </row>
    <row r="34" ht="15.75" customHeight="1">
      <c r="A34" s="33"/>
      <c r="B34" s="33"/>
      <c r="C34" s="33"/>
      <c r="D34" s="33"/>
      <c r="E34" s="36" t="str">
        <f t="shared" si="2"/>
        <v/>
      </c>
      <c r="F34" s="36" t="str">
        <f t="shared" si="3"/>
        <v/>
      </c>
      <c r="G34" s="36" t="str">
        <f t="shared" si="1"/>
        <v/>
      </c>
      <c r="H34" s="36" t="str">
        <f t="shared" si="4"/>
        <v/>
      </c>
      <c r="I34" s="33"/>
      <c r="J34" s="33"/>
      <c r="K34" s="33"/>
      <c r="L34" s="33"/>
      <c r="M34" s="33"/>
      <c r="N34" s="33"/>
      <c r="O34" s="33"/>
      <c r="P34" s="33"/>
      <c r="Q34" s="33"/>
      <c r="R34" s="8"/>
    </row>
    <row r="35" ht="15.75" customHeight="1">
      <c r="A35" s="33"/>
      <c r="B35" s="33"/>
      <c r="C35" s="33"/>
      <c r="D35" s="33"/>
      <c r="E35" s="36" t="str">
        <f t="shared" si="2"/>
        <v/>
      </c>
      <c r="F35" s="36" t="str">
        <f t="shared" si="3"/>
        <v/>
      </c>
      <c r="G35" s="36" t="str">
        <f t="shared" si="1"/>
        <v/>
      </c>
      <c r="H35" s="36" t="str">
        <f t="shared" si="4"/>
        <v/>
      </c>
      <c r="I35" s="33"/>
      <c r="J35" s="33"/>
      <c r="K35" s="33"/>
      <c r="L35" s="33"/>
      <c r="M35" s="33"/>
      <c r="N35" s="33"/>
      <c r="O35" s="33"/>
      <c r="P35" s="33"/>
      <c r="Q35" s="33"/>
      <c r="R35" s="8"/>
    </row>
    <row r="36" ht="15.75" customHeight="1">
      <c r="A36" s="33"/>
      <c r="B36" s="33"/>
      <c r="C36" s="33"/>
      <c r="D36" s="33"/>
      <c r="E36" s="36" t="str">
        <f t="shared" si="2"/>
        <v/>
      </c>
      <c r="F36" s="36" t="str">
        <f t="shared" si="3"/>
        <v/>
      </c>
      <c r="G36" s="36" t="str">
        <f t="shared" si="1"/>
        <v/>
      </c>
      <c r="H36" s="36" t="str">
        <f t="shared" si="4"/>
        <v/>
      </c>
      <c r="I36" s="33"/>
      <c r="J36" s="33"/>
      <c r="K36" s="33"/>
      <c r="L36" s="33"/>
      <c r="M36" s="33"/>
      <c r="N36" s="33"/>
      <c r="O36" s="33"/>
      <c r="P36" s="33"/>
      <c r="Q36" s="33"/>
      <c r="R36" s="8"/>
    </row>
    <row r="37" ht="15.75" customHeight="1">
      <c r="A37" s="33"/>
      <c r="B37" s="33"/>
      <c r="C37" s="33"/>
      <c r="D37" s="33"/>
      <c r="E37" s="36" t="str">
        <f t="shared" si="2"/>
        <v/>
      </c>
      <c r="F37" s="36" t="str">
        <f t="shared" si="3"/>
        <v/>
      </c>
      <c r="G37" s="36" t="str">
        <f t="shared" si="1"/>
        <v/>
      </c>
      <c r="H37" s="36" t="str">
        <f t="shared" si="4"/>
        <v/>
      </c>
      <c r="I37" s="33"/>
      <c r="J37" s="33"/>
      <c r="K37" s="33"/>
      <c r="L37" s="33"/>
      <c r="M37" s="33"/>
      <c r="N37" s="33"/>
      <c r="O37" s="33"/>
      <c r="P37" s="33"/>
      <c r="Q37" s="33"/>
      <c r="R37" s="8"/>
    </row>
    <row r="38" ht="15.75" customHeight="1">
      <c r="A38" s="33"/>
      <c r="B38" s="33"/>
      <c r="C38" s="33"/>
      <c r="D38" s="33"/>
      <c r="E38" s="36" t="str">
        <f t="shared" si="2"/>
        <v/>
      </c>
      <c r="F38" s="36" t="str">
        <f t="shared" si="3"/>
        <v/>
      </c>
      <c r="G38" s="36" t="str">
        <f t="shared" si="1"/>
        <v/>
      </c>
      <c r="H38" s="36" t="str">
        <f t="shared" si="4"/>
        <v/>
      </c>
      <c r="I38" s="33"/>
      <c r="J38" s="33"/>
      <c r="K38" s="33"/>
      <c r="L38" s="33"/>
      <c r="M38" s="33"/>
      <c r="N38" s="33"/>
      <c r="O38" s="33"/>
      <c r="P38" s="33"/>
      <c r="Q38" s="33"/>
      <c r="R38" s="8"/>
    </row>
    <row r="39" ht="15.75" customHeight="1">
      <c r="A39" s="33"/>
      <c r="B39" s="33"/>
      <c r="C39" s="33"/>
      <c r="D39" s="33"/>
      <c r="E39" s="36" t="str">
        <f t="shared" si="2"/>
        <v/>
      </c>
      <c r="F39" s="36" t="str">
        <f t="shared" si="3"/>
        <v/>
      </c>
      <c r="G39" s="36" t="str">
        <f t="shared" si="1"/>
        <v/>
      </c>
      <c r="H39" s="36" t="str">
        <f t="shared" si="4"/>
        <v/>
      </c>
      <c r="I39" s="33"/>
      <c r="J39" s="33"/>
      <c r="K39" s="33"/>
      <c r="L39" s="33"/>
      <c r="M39" s="33"/>
      <c r="N39" s="33"/>
      <c r="O39" s="33"/>
      <c r="P39" s="33"/>
      <c r="Q39" s="33"/>
      <c r="R39" s="8"/>
    </row>
    <row r="40" ht="15.75" customHeight="1">
      <c r="A40" s="33"/>
      <c r="B40" s="33"/>
      <c r="C40" s="33"/>
      <c r="D40" s="33"/>
      <c r="E40" s="36" t="str">
        <f t="shared" si="2"/>
        <v/>
      </c>
      <c r="F40" s="36" t="str">
        <f t="shared" si="3"/>
        <v/>
      </c>
      <c r="G40" s="36" t="str">
        <f t="shared" si="1"/>
        <v/>
      </c>
      <c r="H40" s="36" t="str">
        <f t="shared" si="4"/>
        <v/>
      </c>
      <c r="I40" s="33"/>
      <c r="J40" s="33"/>
      <c r="K40" s="33"/>
      <c r="L40" s="33"/>
      <c r="M40" s="33"/>
      <c r="N40" s="33"/>
      <c r="O40" s="33"/>
      <c r="P40" s="33"/>
      <c r="Q40" s="33"/>
      <c r="R40" s="8"/>
    </row>
    <row r="41" ht="15.75" customHeight="1">
      <c r="A41" s="33"/>
      <c r="B41" s="33"/>
      <c r="C41" s="33"/>
      <c r="D41" s="33"/>
      <c r="E41" s="36" t="str">
        <f t="shared" si="2"/>
        <v/>
      </c>
      <c r="F41" s="36" t="str">
        <f t="shared" si="3"/>
        <v/>
      </c>
      <c r="G41" s="36" t="str">
        <f t="shared" si="1"/>
        <v/>
      </c>
      <c r="H41" s="36" t="str">
        <f t="shared" si="4"/>
        <v/>
      </c>
      <c r="I41" s="33"/>
      <c r="J41" s="33"/>
      <c r="K41" s="33"/>
      <c r="L41" s="33"/>
      <c r="M41" s="33"/>
      <c r="N41" s="33"/>
      <c r="O41" s="33"/>
      <c r="P41" s="33"/>
      <c r="Q41" s="33"/>
      <c r="R41" s="8"/>
    </row>
    <row r="42" ht="15.75" customHeight="1">
      <c r="A42" s="33"/>
      <c r="B42" s="33"/>
      <c r="C42" s="33"/>
      <c r="D42" s="33"/>
      <c r="E42" s="36" t="str">
        <f t="shared" si="2"/>
        <v/>
      </c>
      <c r="F42" s="36" t="str">
        <f t="shared" si="3"/>
        <v/>
      </c>
      <c r="G42" s="36" t="str">
        <f t="shared" si="1"/>
        <v/>
      </c>
      <c r="H42" s="36" t="str">
        <f t="shared" si="4"/>
        <v/>
      </c>
      <c r="I42" s="33"/>
      <c r="J42" s="33"/>
      <c r="K42" s="33"/>
      <c r="L42" s="33"/>
      <c r="M42" s="33"/>
      <c r="N42" s="33"/>
      <c r="O42" s="33"/>
      <c r="P42" s="33"/>
      <c r="Q42" s="33"/>
      <c r="R42" s="8"/>
    </row>
    <row r="43" ht="15.75" customHeight="1">
      <c r="A43" s="33"/>
      <c r="B43" s="33"/>
      <c r="C43" s="33"/>
      <c r="D43" s="33"/>
      <c r="E43" s="36" t="str">
        <f t="shared" si="2"/>
        <v/>
      </c>
      <c r="F43" s="36" t="str">
        <f t="shared" si="3"/>
        <v/>
      </c>
      <c r="G43" s="36" t="str">
        <f t="shared" si="1"/>
        <v/>
      </c>
      <c r="H43" s="36" t="str">
        <f t="shared" si="4"/>
        <v/>
      </c>
      <c r="I43" s="33"/>
      <c r="J43" s="33"/>
      <c r="K43" s="33"/>
      <c r="L43" s="33"/>
      <c r="M43" s="33"/>
      <c r="N43" s="33"/>
      <c r="O43" s="33"/>
      <c r="P43" s="33"/>
      <c r="Q43" s="33"/>
      <c r="R43" s="8"/>
    </row>
    <row r="44" ht="15.75" customHeight="1">
      <c r="A44" s="33"/>
      <c r="B44" s="33"/>
      <c r="C44" s="33"/>
      <c r="D44" s="33"/>
      <c r="E44" s="36" t="str">
        <f t="shared" si="2"/>
        <v/>
      </c>
      <c r="F44" s="36" t="str">
        <f t="shared" si="3"/>
        <v/>
      </c>
      <c r="G44" s="36" t="str">
        <f t="shared" si="1"/>
        <v/>
      </c>
      <c r="H44" s="36" t="str">
        <f t="shared" si="4"/>
        <v/>
      </c>
      <c r="I44" s="33"/>
      <c r="J44" s="33"/>
      <c r="K44" s="33"/>
      <c r="L44" s="33"/>
      <c r="M44" s="33"/>
      <c r="N44" s="33"/>
      <c r="O44" s="33"/>
      <c r="P44" s="33"/>
      <c r="Q44" s="33"/>
      <c r="R44" s="8"/>
    </row>
    <row r="45" ht="15.75" customHeight="1">
      <c r="A45" s="33"/>
      <c r="B45" s="33"/>
      <c r="C45" s="33"/>
      <c r="D45" s="33"/>
      <c r="E45" s="36" t="str">
        <f t="shared" si="2"/>
        <v/>
      </c>
      <c r="F45" s="36" t="str">
        <f t="shared" si="3"/>
        <v/>
      </c>
      <c r="G45" s="36" t="str">
        <f t="shared" si="1"/>
        <v/>
      </c>
      <c r="H45" s="36" t="str">
        <f t="shared" si="4"/>
        <v/>
      </c>
      <c r="I45" s="33"/>
      <c r="J45" s="33"/>
      <c r="K45" s="33"/>
      <c r="L45" s="33"/>
      <c r="M45" s="33"/>
      <c r="N45" s="33"/>
      <c r="O45" s="33"/>
      <c r="P45" s="33"/>
      <c r="Q45" s="33"/>
      <c r="R45" s="8"/>
    </row>
    <row r="46" ht="15.75" customHeight="1">
      <c r="A46" s="33"/>
      <c r="B46" s="33"/>
      <c r="C46" s="33"/>
      <c r="D46" s="33"/>
      <c r="E46" s="36" t="str">
        <f t="shared" si="2"/>
        <v/>
      </c>
      <c r="F46" s="36" t="str">
        <f t="shared" si="3"/>
        <v/>
      </c>
      <c r="G46" s="36" t="str">
        <f t="shared" si="1"/>
        <v/>
      </c>
      <c r="H46" s="36" t="str">
        <f t="shared" si="4"/>
        <v/>
      </c>
      <c r="I46" s="33"/>
      <c r="J46" s="33"/>
      <c r="K46" s="33"/>
      <c r="L46" s="33"/>
      <c r="M46" s="33"/>
      <c r="N46" s="33"/>
      <c r="O46" s="33"/>
      <c r="P46" s="33"/>
      <c r="Q46" s="33"/>
      <c r="R46" s="8"/>
    </row>
    <row r="47" ht="15.75" customHeight="1">
      <c r="A47" s="33"/>
      <c r="B47" s="33"/>
      <c r="C47" s="33"/>
      <c r="D47" s="33"/>
      <c r="E47" s="36" t="str">
        <f t="shared" si="2"/>
        <v/>
      </c>
      <c r="F47" s="36" t="str">
        <f t="shared" si="3"/>
        <v/>
      </c>
      <c r="G47" s="36" t="str">
        <f t="shared" si="1"/>
        <v/>
      </c>
      <c r="H47" s="36" t="str">
        <f t="shared" si="4"/>
        <v/>
      </c>
      <c r="I47" s="33"/>
      <c r="J47" s="33"/>
      <c r="K47" s="33"/>
      <c r="L47" s="33"/>
      <c r="M47" s="33"/>
      <c r="N47" s="33"/>
      <c r="O47" s="33"/>
      <c r="P47" s="33"/>
      <c r="Q47" s="33"/>
      <c r="R47" s="8"/>
    </row>
    <row r="48" ht="15.75" customHeight="1">
      <c r="A48" s="33"/>
      <c r="B48" s="33"/>
      <c r="C48" s="33"/>
      <c r="D48" s="33"/>
      <c r="E48" s="36" t="str">
        <f t="shared" si="2"/>
        <v/>
      </c>
      <c r="F48" s="36" t="str">
        <f t="shared" si="3"/>
        <v/>
      </c>
      <c r="G48" s="36" t="str">
        <f t="shared" si="1"/>
        <v/>
      </c>
      <c r="H48" s="36" t="str">
        <f t="shared" si="4"/>
        <v/>
      </c>
      <c r="I48" s="33"/>
      <c r="J48" s="33"/>
      <c r="K48" s="33"/>
      <c r="L48" s="33"/>
      <c r="M48" s="33"/>
      <c r="N48" s="33"/>
      <c r="O48" s="33"/>
      <c r="P48" s="33"/>
      <c r="Q48" s="33"/>
      <c r="R48" s="8"/>
    </row>
    <row r="49" ht="15.75" customHeight="1">
      <c r="A49" s="33"/>
      <c r="B49" s="33"/>
      <c r="C49" s="33"/>
      <c r="D49" s="33"/>
      <c r="E49" s="36" t="str">
        <f t="shared" si="2"/>
        <v/>
      </c>
      <c r="F49" s="36" t="str">
        <f t="shared" si="3"/>
        <v/>
      </c>
      <c r="G49" s="36" t="str">
        <f t="shared" si="1"/>
        <v/>
      </c>
      <c r="H49" s="36" t="str">
        <f t="shared" si="4"/>
        <v/>
      </c>
      <c r="I49" s="33"/>
      <c r="J49" s="33"/>
      <c r="K49" s="33"/>
      <c r="L49" s="33"/>
      <c r="M49" s="33"/>
      <c r="N49" s="33"/>
      <c r="O49" s="33"/>
      <c r="P49" s="33"/>
      <c r="Q49" s="33"/>
      <c r="R49" s="8"/>
    </row>
    <row r="50" ht="15.75" customHeight="1">
      <c r="A50" s="33"/>
      <c r="B50" s="33"/>
      <c r="C50" s="33"/>
      <c r="D50" s="33"/>
      <c r="E50" s="36" t="str">
        <f t="shared" si="2"/>
        <v/>
      </c>
      <c r="F50" s="36" t="str">
        <f t="shared" si="3"/>
        <v/>
      </c>
      <c r="G50" s="36" t="str">
        <f t="shared" si="1"/>
        <v/>
      </c>
      <c r="H50" s="36" t="str">
        <f t="shared" si="4"/>
        <v/>
      </c>
      <c r="I50" s="33"/>
      <c r="J50" s="33"/>
      <c r="K50" s="33"/>
      <c r="L50" s="33"/>
      <c r="M50" s="33"/>
      <c r="N50" s="33"/>
      <c r="O50" s="33"/>
      <c r="P50" s="33"/>
      <c r="Q50" s="33"/>
      <c r="R50" s="8"/>
    </row>
    <row r="51" ht="15.75" customHeight="1">
      <c r="A51" s="33"/>
      <c r="B51" s="33"/>
      <c r="C51" s="33"/>
      <c r="D51" s="33"/>
      <c r="E51" s="36" t="str">
        <f t="shared" si="2"/>
        <v/>
      </c>
      <c r="F51" s="36" t="str">
        <f t="shared" si="3"/>
        <v/>
      </c>
      <c r="G51" s="36" t="str">
        <f t="shared" si="1"/>
        <v/>
      </c>
      <c r="H51" s="36" t="str">
        <f t="shared" si="4"/>
        <v/>
      </c>
      <c r="I51" s="33"/>
      <c r="J51" s="33"/>
      <c r="K51" s="33"/>
      <c r="L51" s="33"/>
      <c r="M51" s="33"/>
      <c r="N51" s="33"/>
      <c r="O51" s="33"/>
      <c r="P51" s="33"/>
      <c r="Q51" s="33"/>
      <c r="R51" s="8"/>
    </row>
    <row r="52" ht="15.75" customHeight="1">
      <c r="A52" s="33"/>
      <c r="B52" s="33"/>
      <c r="C52" s="33"/>
      <c r="D52" s="33"/>
      <c r="E52" s="36" t="str">
        <f t="shared" si="2"/>
        <v/>
      </c>
      <c r="F52" s="36" t="str">
        <f t="shared" si="3"/>
        <v/>
      </c>
      <c r="G52" s="36" t="str">
        <f t="shared" si="1"/>
        <v/>
      </c>
      <c r="H52" s="36" t="str">
        <f t="shared" si="4"/>
        <v/>
      </c>
      <c r="I52" s="33"/>
      <c r="J52" s="33"/>
      <c r="K52" s="33"/>
      <c r="L52" s="33"/>
      <c r="M52" s="33"/>
      <c r="N52" s="33"/>
      <c r="O52" s="33"/>
      <c r="P52" s="33"/>
      <c r="Q52" s="33"/>
      <c r="R52" s="8"/>
    </row>
    <row r="53" ht="15.75" customHeight="1">
      <c r="A53" s="33"/>
      <c r="B53" s="33"/>
      <c r="C53" s="33"/>
      <c r="D53" s="33"/>
      <c r="E53" s="36" t="str">
        <f t="shared" si="2"/>
        <v/>
      </c>
      <c r="F53" s="36" t="str">
        <f t="shared" si="3"/>
        <v/>
      </c>
      <c r="G53" s="36" t="str">
        <f t="shared" si="1"/>
        <v/>
      </c>
      <c r="H53" s="36" t="str">
        <f t="shared" si="4"/>
        <v/>
      </c>
      <c r="I53" s="33"/>
      <c r="J53" s="33"/>
      <c r="K53" s="33"/>
      <c r="L53" s="33"/>
      <c r="M53" s="33"/>
      <c r="N53" s="33"/>
      <c r="O53" s="33"/>
      <c r="P53" s="33"/>
      <c r="Q53" s="33"/>
      <c r="R53" s="8"/>
    </row>
    <row r="54" ht="15.75" customHeight="1">
      <c r="A54" s="33"/>
      <c r="B54" s="33"/>
      <c r="C54" s="33"/>
      <c r="D54" s="33"/>
      <c r="E54" s="36" t="str">
        <f t="shared" si="2"/>
        <v/>
      </c>
      <c r="F54" s="36" t="str">
        <f t="shared" si="3"/>
        <v/>
      </c>
      <c r="G54" s="36" t="str">
        <f t="shared" si="1"/>
        <v/>
      </c>
      <c r="H54" s="36" t="str">
        <f t="shared" si="4"/>
        <v/>
      </c>
      <c r="I54" s="33"/>
      <c r="J54" s="33"/>
      <c r="K54" s="33"/>
      <c r="L54" s="33"/>
      <c r="M54" s="33"/>
      <c r="N54" s="33"/>
      <c r="O54" s="33"/>
      <c r="P54" s="33"/>
      <c r="Q54" s="33"/>
      <c r="R54" s="8"/>
    </row>
    <row r="55" ht="15.75" customHeight="1">
      <c r="A55" s="33"/>
      <c r="B55" s="33"/>
      <c r="C55" s="33"/>
      <c r="D55" s="33"/>
      <c r="E55" s="36" t="str">
        <f t="shared" si="2"/>
        <v/>
      </c>
      <c r="F55" s="36" t="str">
        <f t="shared" si="3"/>
        <v/>
      </c>
      <c r="G55" s="36" t="str">
        <f t="shared" si="1"/>
        <v/>
      </c>
      <c r="H55" s="36" t="str">
        <f t="shared" si="4"/>
        <v/>
      </c>
      <c r="I55" s="33"/>
      <c r="J55" s="33"/>
      <c r="K55" s="33"/>
      <c r="L55" s="33"/>
      <c r="M55" s="33"/>
      <c r="N55" s="33"/>
      <c r="O55" s="33"/>
      <c r="P55" s="33"/>
      <c r="Q55" s="33"/>
      <c r="R55" s="8"/>
    </row>
    <row r="56" ht="15.75" customHeight="1">
      <c r="A56" s="33"/>
      <c r="B56" s="33"/>
      <c r="C56" s="33"/>
      <c r="D56" s="33"/>
      <c r="E56" s="36" t="str">
        <f t="shared" si="2"/>
        <v/>
      </c>
      <c r="F56" s="36" t="str">
        <f t="shared" si="3"/>
        <v/>
      </c>
      <c r="G56" s="36" t="str">
        <f t="shared" si="1"/>
        <v/>
      </c>
      <c r="H56" s="36" t="str">
        <f t="shared" si="4"/>
        <v/>
      </c>
      <c r="I56" s="33"/>
      <c r="J56" s="33"/>
      <c r="K56" s="33"/>
      <c r="L56" s="33"/>
      <c r="M56" s="33"/>
      <c r="N56" s="33"/>
      <c r="O56" s="33"/>
      <c r="P56" s="33"/>
      <c r="Q56" s="33"/>
      <c r="R56" s="8"/>
    </row>
    <row r="57" ht="15.75" customHeight="1">
      <c r="A57" s="33"/>
      <c r="B57" s="33"/>
      <c r="C57" s="33"/>
      <c r="D57" s="33"/>
      <c r="E57" s="36" t="str">
        <f t="shared" si="2"/>
        <v/>
      </c>
      <c r="F57" s="36" t="str">
        <f t="shared" si="3"/>
        <v/>
      </c>
      <c r="G57" s="36" t="str">
        <f t="shared" si="1"/>
        <v/>
      </c>
      <c r="H57" s="36" t="str">
        <f t="shared" si="4"/>
        <v/>
      </c>
      <c r="I57" s="33"/>
      <c r="J57" s="33"/>
      <c r="K57" s="33"/>
      <c r="L57" s="33"/>
      <c r="M57" s="33"/>
      <c r="N57" s="33"/>
      <c r="O57" s="33"/>
      <c r="P57" s="33"/>
      <c r="Q57" s="33"/>
      <c r="R57" s="8"/>
    </row>
    <row r="58" ht="15.75" customHeight="1">
      <c r="A58" s="33"/>
      <c r="B58" s="33"/>
      <c r="C58" s="33"/>
      <c r="D58" s="33"/>
      <c r="E58" s="36" t="str">
        <f t="shared" si="2"/>
        <v/>
      </c>
      <c r="F58" s="36" t="str">
        <f t="shared" si="3"/>
        <v/>
      </c>
      <c r="G58" s="36" t="str">
        <f t="shared" si="1"/>
        <v/>
      </c>
      <c r="H58" s="36" t="str">
        <f t="shared" si="4"/>
        <v/>
      </c>
      <c r="I58" s="33"/>
      <c r="J58" s="33"/>
      <c r="K58" s="33"/>
      <c r="L58" s="33"/>
      <c r="M58" s="33"/>
      <c r="N58" s="33"/>
      <c r="O58" s="33"/>
      <c r="P58" s="33"/>
      <c r="Q58" s="33"/>
      <c r="R58" s="8"/>
    </row>
    <row r="59" ht="15.75" customHeight="1">
      <c r="A59" s="33"/>
      <c r="B59" s="33"/>
      <c r="C59" s="33"/>
      <c r="D59" s="33"/>
      <c r="E59" s="36" t="str">
        <f t="shared" si="2"/>
        <v/>
      </c>
      <c r="F59" s="36" t="str">
        <f t="shared" si="3"/>
        <v/>
      </c>
      <c r="G59" s="36" t="str">
        <f t="shared" si="1"/>
        <v/>
      </c>
      <c r="H59" s="36" t="str">
        <f t="shared" si="4"/>
        <v/>
      </c>
      <c r="I59" s="33"/>
      <c r="J59" s="33"/>
      <c r="K59" s="33"/>
      <c r="L59" s="33"/>
      <c r="M59" s="33"/>
      <c r="N59" s="33"/>
      <c r="O59" s="33"/>
      <c r="P59" s="33"/>
      <c r="Q59" s="33"/>
      <c r="R59" s="8"/>
    </row>
    <row r="60" ht="15.75" customHeight="1">
      <c r="A60" s="33"/>
      <c r="B60" s="33"/>
      <c r="C60" s="33"/>
      <c r="D60" s="33"/>
      <c r="E60" s="36" t="str">
        <f t="shared" si="2"/>
        <v/>
      </c>
      <c r="F60" s="36" t="str">
        <f t="shared" si="3"/>
        <v/>
      </c>
      <c r="G60" s="36" t="str">
        <f t="shared" si="1"/>
        <v/>
      </c>
      <c r="H60" s="36" t="str">
        <f t="shared" si="4"/>
        <v/>
      </c>
      <c r="I60" s="33"/>
      <c r="J60" s="33"/>
      <c r="K60" s="33"/>
      <c r="L60" s="33"/>
      <c r="M60" s="33"/>
      <c r="N60" s="33"/>
      <c r="O60" s="33"/>
      <c r="P60" s="33"/>
      <c r="Q60" s="33"/>
      <c r="R60" s="8"/>
    </row>
    <row r="61" ht="15.75" customHeight="1">
      <c r="A61" s="33"/>
      <c r="B61" s="33"/>
      <c r="C61" s="33"/>
      <c r="D61" s="33"/>
      <c r="E61" s="36" t="str">
        <f t="shared" si="2"/>
        <v/>
      </c>
      <c r="F61" s="36" t="str">
        <f t="shared" si="3"/>
        <v/>
      </c>
      <c r="G61" s="36" t="str">
        <f t="shared" si="1"/>
        <v/>
      </c>
      <c r="H61" s="36" t="str">
        <f t="shared" si="4"/>
        <v/>
      </c>
      <c r="I61" s="33"/>
      <c r="J61" s="33"/>
      <c r="K61" s="33"/>
      <c r="L61" s="33"/>
      <c r="M61" s="33"/>
      <c r="N61" s="33"/>
      <c r="O61" s="33"/>
      <c r="P61" s="33"/>
      <c r="Q61" s="33"/>
      <c r="R61" s="8"/>
    </row>
    <row r="62" ht="15.75" customHeight="1">
      <c r="A62" s="33"/>
      <c r="B62" s="33"/>
      <c r="C62" s="33"/>
      <c r="D62" s="33"/>
      <c r="E62" s="36" t="str">
        <f t="shared" si="2"/>
        <v/>
      </c>
      <c r="F62" s="36" t="str">
        <f t="shared" si="3"/>
        <v/>
      </c>
      <c r="G62" s="36" t="str">
        <f t="shared" si="1"/>
        <v/>
      </c>
      <c r="H62" s="36" t="str">
        <f t="shared" si="4"/>
        <v/>
      </c>
      <c r="I62" s="33"/>
      <c r="J62" s="33"/>
      <c r="K62" s="33"/>
      <c r="L62" s="33"/>
      <c r="M62" s="33"/>
      <c r="N62" s="33"/>
      <c r="O62" s="33"/>
      <c r="P62" s="33"/>
      <c r="Q62" s="33"/>
      <c r="R62" s="8"/>
    </row>
    <row r="63" ht="15.75" customHeight="1">
      <c r="A63" s="8"/>
      <c r="B63" s="8"/>
      <c r="C63" s="8"/>
      <c r="D63" s="8"/>
      <c r="E63" s="37" t="str">
        <f t="shared" si="2"/>
        <v/>
      </c>
      <c r="F63" s="37" t="str">
        <f t="shared" si="3"/>
        <v/>
      </c>
      <c r="G63" s="37" t="str">
        <f t="shared" si="1"/>
        <v/>
      </c>
      <c r="H63" s="37" t="str">
        <f t="shared" si="4"/>
        <v/>
      </c>
      <c r="I63" s="8"/>
      <c r="J63" s="8"/>
      <c r="K63" s="8"/>
      <c r="L63" s="8"/>
      <c r="M63" s="8"/>
      <c r="N63" s="8"/>
      <c r="O63" s="8"/>
      <c r="P63" s="8"/>
      <c r="Q63" s="8"/>
      <c r="R63" s="8"/>
    </row>
    <row r="64" ht="15.75" customHeight="1">
      <c r="A64" s="8"/>
      <c r="B64" s="8"/>
      <c r="C64" s="8"/>
      <c r="D64" s="8"/>
      <c r="E64" s="37" t="str">
        <f t="shared" si="2"/>
        <v/>
      </c>
      <c r="F64" s="37" t="str">
        <f t="shared" si="3"/>
        <v/>
      </c>
      <c r="G64" s="37" t="str">
        <f t="shared" si="1"/>
        <v/>
      </c>
      <c r="H64" s="37" t="str">
        <f t="shared" si="4"/>
        <v/>
      </c>
      <c r="I64" s="8"/>
      <c r="J64" s="8"/>
      <c r="K64" s="8"/>
      <c r="L64" s="8"/>
      <c r="M64" s="8"/>
      <c r="N64" s="8"/>
      <c r="O64" s="8"/>
      <c r="P64" s="8"/>
      <c r="Q64" s="8"/>
      <c r="R64" s="8"/>
    </row>
    <row r="65" ht="15.75" customHeight="1">
      <c r="A65" s="8"/>
      <c r="B65" s="8"/>
      <c r="C65" s="8"/>
      <c r="D65" s="8"/>
      <c r="E65" s="37" t="str">
        <f t="shared" si="2"/>
        <v/>
      </c>
      <c r="F65" s="37" t="str">
        <f t="shared" si="3"/>
        <v/>
      </c>
      <c r="G65" s="37" t="str">
        <f t="shared" si="1"/>
        <v/>
      </c>
      <c r="H65" s="37" t="str">
        <f t="shared" si="4"/>
        <v/>
      </c>
      <c r="I65" s="8"/>
      <c r="J65" s="8"/>
      <c r="K65" s="8"/>
      <c r="L65" s="8"/>
      <c r="M65" s="8"/>
      <c r="N65" s="8"/>
      <c r="O65" s="8"/>
      <c r="P65" s="8"/>
      <c r="Q65" s="8"/>
      <c r="R65" s="8"/>
    </row>
    <row r="66" ht="15.75" customHeight="1">
      <c r="A66" s="8"/>
      <c r="B66" s="8"/>
      <c r="C66" s="8"/>
      <c r="D66" s="8"/>
      <c r="E66" s="37" t="str">
        <f t="shared" si="2"/>
        <v/>
      </c>
      <c r="F66" s="37" t="str">
        <f t="shared" si="3"/>
        <v/>
      </c>
      <c r="G66" s="37" t="str">
        <f t="shared" si="1"/>
        <v/>
      </c>
      <c r="H66" s="37" t="str">
        <f t="shared" si="4"/>
        <v/>
      </c>
      <c r="I66" s="8"/>
      <c r="J66" s="8"/>
      <c r="K66" s="8"/>
      <c r="L66" s="8"/>
      <c r="M66" s="8"/>
      <c r="N66" s="8"/>
      <c r="O66" s="8"/>
      <c r="P66" s="8"/>
      <c r="Q66" s="8"/>
      <c r="R66" s="8"/>
    </row>
    <row r="67" ht="15.75" customHeight="1">
      <c r="A67" s="8"/>
      <c r="B67" s="8"/>
      <c r="C67" s="8"/>
      <c r="D67" s="8"/>
      <c r="E67" s="37" t="str">
        <f t="shared" si="2"/>
        <v/>
      </c>
      <c r="F67" s="37" t="str">
        <f t="shared" si="3"/>
        <v/>
      </c>
      <c r="G67" s="37" t="str">
        <f t="shared" si="1"/>
        <v/>
      </c>
      <c r="H67" s="37" t="str">
        <f t="shared" si="4"/>
        <v/>
      </c>
      <c r="I67" s="8"/>
      <c r="J67" s="8"/>
      <c r="K67" s="8"/>
      <c r="L67" s="8"/>
      <c r="M67" s="8"/>
      <c r="N67" s="8"/>
      <c r="O67" s="8"/>
      <c r="P67" s="8"/>
      <c r="Q67" s="8"/>
      <c r="R67" s="8"/>
    </row>
    <row r="68" ht="15.75" customHeight="1">
      <c r="A68" s="8"/>
      <c r="B68" s="8"/>
      <c r="C68" s="8"/>
      <c r="D68" s="8"/>
      <c r="E68" s="37" t="str">
        <f t="shared" si="2"/>
        <v/>
      </c>
      <c r="F68" s="37" t="str">
        <f t="shared" si="3"/>
        <v/>
      </c>
      <c r="G68" s="37" t="str">
        <f t="shared" si="1"/>
        <v/>
      </c>
      <c r="H68" s="37" t="str">
        <f t="shared" si="4"/>
        <v/>
      </c>
      <c r="I68" s="8"/>
      <c r="J68" s="8"/>
      <c r="K68" s="8"/>
      <c r="L68" s="8"/>
      <c r="M68" s="8"/>
      <c r="N68" s="8"/>
      <c r="O68" s="8"/>
      <c r="P68" s="8"/>
      <c r="Q68" s="8"/>
      <c r="R68" s="8"/>
    </row>
    <row r="69" ht="15.75" customHeight="1">
      <c r="A69" s="8"/>
      <c r="B69" s="8"/>
      <c r="C69" s="8"/>
      <c r="D69" s="8"/>
      <c r="E69" s="37" t="str">
        <f t="shared" si="2"/>
        <v/>
      </c>
      <c r="F69" s="37" t="str">
        <f t="shared" si="3"/>
        <v/>
      </c>
      <c r="G69" s="37" t="str">
        <f t="shared" si="1"/>
        <v/>
      </c>
      <c r="H69" s="37" t="str">
        <f t="shared" si="4"/>
        <v/>
      </c>
      <c r="I69" s="8"/>
      <c r="J69" s="8"/>
      <c r="K69" s="8"/>
      <c r="L69" s="8"/>
      <c r="M69" s="8"/>
      <c r="N69" s="8"/>
      <c r="O69" s="8"/>
      <c r="P69" s="8"/>
      <c r="Q69" s="8"/>
      <c r="R69" s="8"/>
    </row>
    <row r="70" ht="15.75" customHeight="1">
      <c r="A70" s="8"/>
      <c r="B70" s="8"/>
      <c r="C70" s="8"/>
      <c r="D70" s="8"/>
      <c r="E70" s="37" t="str">
        <f t="shared" si="2"/>
        <v/>
      </c>
      <c r="F70" s="37" t="str">
        <f t="shared" si="3"/>
        <v/>
      </c>
      <c r="G70" s="37" t="str">
        <f t="shared" si="1"/>
        <v/>
      </c>
      <c r="H70" s="37" t="str">
        <f t="shared" si="4"/>
        <v/>
      </c>
      <c r="I70" s="8"/>
      <c r="J70" s="8"/>
      <c r="K70" s="8"/>
      <c r="L70" s="8"/>
      <c r="M70" s="8"/>
      <c r="N70" s="8"/>
      <c r="O70" s="8"/>
      <c r="P70" s="8"/>
      <c r="Q70" s="8"/>
      <c r="R70" s="8"/>
    </row>
    <row r="71" ht="15.75" customHeight="1">
      <c r="A71" s="8"/>
      <c r="B71" s="8"/>
      <c r="C71" s="8"/>
      <c r="D71" s="8"/>
      <c r="E71" s="37" t="str">
        <f t="shared" si="2"/>
        <v/>
      </c>
      <c r="F71" s="37" t="str">
        <f t="shared" si="3"/>
        <v/>
      </c>
      <c r="G71" s="37" t="str">
        <f t="shared" si="1"/>
        <v/>
      </c>
      <c r="H71" s="37" t="str">
        <f t="shared" si="4"/>
        <v/>
      </c>
      <c r="I71" s="8"/>
      <c r="J71" s="8"/>
      <c r="K71" s="8"/>
      <c r="L71" s="8"/>
      <c r="M71" s="8"/>
      <c r="N71" s="8"/>
      <c r="O71" s="8"/>
      <c r="P71" s="8"/>
      <c r="Q71" s="8"/>
      <c r="R71" s="8"/>
    </row>
    <row r="72" ht="15.75" customHeight="1">
      <c r="A72" s="8"/>
      <c r="B72" s="8"/>
      <c r="C72" s="8"/>
      <c r="D72" s="8"/>
      <c r="E72" s="37" t="str">
        <f t="shared" si="2"/>
        <v/>
      </c>
      <c r="F72" s="37" t="str">
        <f t="shared" si="3"/>
        <v/>
      </c>
      <c r="G72" s="37" t="str">
        <f t="shared" si="1"/>
        <v/>
      </c>
      <c r="H72" s="37" t="str">
        <f t="shared" si="4"/>
        <v/>
      </c>
      <c r="I72" s="8"/>
      <c r="J72" s="8"/>
      <c r="K72" s="8"/>
      <c r="L72" s="8"/>
      <c r="M72" s="8"/>
      <c r="N72" s="8"/>
      <c r="O72" s="8"/>
      <c r="P72" s="8"/>
      <c r="Q72" s="8"/>
      <c r="R72" s="8"/>
    </row>
    <row r="73" ht="15.75" customHeight="1">
      <c r="A73" s="8"/>
      <c r="B73" s="8"/>
      <c r="C73" s="8"/>
      <c r="D73" s="8"/>
      <c r="E73" s="37" t="str">
        <f t="shared" si="2"/>
        <v/>
      </c>
      <c r="F73" s="37" t="str">
        <f t="shared" si="3"/>
        <v/>
      </c>
      <c r="G73" s="37" t="str">
        <f t="shared" si="1"/>
        <v/>
      </c>
      <c r="H73" s="37" t="str">
        <f t="shared" si="4"/>
        <v/>
      </c>
      <c r="I73" s="8"/>
      <c r="J73" s="8"/>
      <c r="K73" s="8"/>
      <c r="L73" s="8"/>
      <c r="M73" s="8"/>
      <c r="N73" s="8"/>
      <c r="O73" s="8"/>
      <c r="P73" s="8"/>
      <c r="Q73" s="8"/>
      <c r="R73" s="8"/>
    </row>
    <row r="74" ht="15.75" customHeight="1">
      <c r="A74" s="8"/>
      <c r="B74" s="8"/>
      <c r="C74" s="8"/>
      <c r="D74" s="8"/>
      <c r="E74" s="37" t="str">
        <f t="shared" si="2"/>
        <v/>
      </c>
      <c r="F74" s="37" t="str">
        <f t="shared" si="3"/>
        <v/>
      </c>
      <c r="G74" s="37" t="str">
        <f t="shared" si="1"/>
        <v/>
      </c>
      <c r="H74" s="37" t="str">
        <f t="shared" si="4"/>
        <v/>
      </c>
      <c r="I74" s="8"/>
      <c r="J74" s="8"/>
      <c r="K74" s="8"/>
      <c r="L74" s="8"/>
      <c r="M74" s="8"/>
      <c r="N74" s="8"/>
      <c r="O74" s="8"/>
      <c r="P74" s="8"/>
      <c r="Q74" s="8"/>
      <c r="R74" s="8"/>
    </row>
    <row r="75" ht="15.75" customHeight="1">
      <c r="A75" s="8"/>
      <c r="B75" s="8"/>
      <c r="C75" s="8"/>
      <c r="D75" s="8"/>
      <c r="E75" s="37" t="str">
        <f t="shared" si="2"/>
        <v/>
      </c>
      <c r="F75" s="37" t="str">
        <f t="shared" si="3"/>
        <v/>
      </c>
      <c r="G75" s="37" t="str">
        <f t="shared" si="1"/>
        <v/>
      </c>
      <c r="H75" s="37" t="str">
        <f t="shared" si="4"/>
        <v/>
      </c>
      <c r="I75" s="8"/>
      <c r="J75" s="8"/>
      <c r="K75" s="8"/>
      <c r="L75" s="8"/>
      <c r="M75" s="8"/>
      <c r="N75" s="8"/>
      <c r="O75" s="8"/>
      <c r="P75" s="8"/>
      <c r="Q75" s="8"/>
      <c r="R75" s="8"/>
    </row>
    <row r="76" ht="15.75" customHeight="1">
      <c r="A76" s="8"/>
      <c r="B76" s="8"/>
      <c r="C76" s="8"/>
      <c r="D76" s="8"/>
      <c r="E76" s="37" t="str">
        <f t="shared" si="2"/>
        <v/>
      </c>
      <c r="F76" s="37" t="str">
        <f t="shared" si="3"/>
        <v/>
      </c>
      <c r="G76" s="37" t="str">
        <f t="shared" si="1"/>
        <v/>
      </c>
      <c r="H76" s="37" t="str">
        <f t="shared" si="4"/>
        <v/>
      </c>
      <c r="I76" s="8"/>
      <c r="J76" s="8"/>
      <c r="K76" s="8"/>
      <c r="L76" s="8"/>
      <c r="M76" s="8"/>
      <c r="N76" s="8"/>
      <c r="O76" s="8"/>
      <c r="P76" s="8"/>
      <c r="Q76" s="8"/>
      <c r="R76" s="8"/>
    </row>
    <row r="77" ht="15.75" customHeight="1">
      <c r="A77" s="8"/>
      <c r="B77" s="8"/>
      <c r="C77" s="8"/>
      <c r="D77" s="8"/>
      <c r="E77" s="37" t="str">
        <f t="shared" si="2"/>
        <v/>
      </c>
      <c r="F77" s="37" t="str">
        <f t="shared" si="3"/>
        <v/>
      </c>
      <c r="G77" s="37" t="str">
        <f t="shared" si="1"/>
        <v/>
      </c>
      <c r="H77" s="37" t="str">
        <f t="shared" si="4"/>
        <v/>
      </c>
      <c r="I77" s="8"/>
      <c r="J77" s="8"/>
      <c r="K77" s="8"/>
      <c r="L77" s="8"/>
      <c r="M77" s="8"/>
      <c r="N77" s="8"/>
      <c r="O77" s="8"/>
      <c r="P77" s="8"/>
      <c r="Q77" s="8"/>
      <c r="R77" s="8"/>
    </row>
    <row r="78" ht="15.75" customHeight="1">
      <c r="A78" s="8"/>
      <c r="B78" s="8"/>
      <c r="C78" s="8"/>
      <c r="D78" s="8"/>
      <c r="E78" s="37" t="str">
        <f t="shared" si="2"/>
        <v/>
      </c>
      <c r="F78" s="37" t="str">
        <f t="shared" si="3"/>
        <v/>
      </c>
      <c r="G78" s="37" t="str">
        <f t="shared" si="1"/>
        <v/>
      </c>
      <c r="H78" s="37" t="str">
        <f t="shared" si="4"/>
        <v/>
      </c>
      <c r="I78" s="8"/>
      <c r="J78" s="8"/>
      <c r="K78" s="8"/>
      <c r="L78" s="8"/>
      <c r="M78" s="8"/>
      <c r="N78" s="8"/>
      <c r="O78" s="8"/>
      <c r="P78" s="8"/>
      <c r="Q78" s="8"/>
      <c r="R78" s="8"/>
    </row>
    <row r="79" ht="15.75" customHeight="1">
      <c r="A79" s="8"/>
      <c r="B79" s="8"/>
      <c r="C79" s="8"/>
      <c r="D79" s="8"/>
      <c r="E79" s="37" t="str">
        <f t="shared" si="2"/>
        <v/>
      </c>
      <c r="F79" s="37" t="str">
        <f t="shared" si="3"/>
        <v/>
      </c>
      <c r="G79" s="37" t="str">
        <f t="shared" si="1"/>
        <v/>
      </c>
      <c r="H79" s="37" t="str">
        <f t="shared" si="4"/>
        <v/>
      </c>
      <c r="I79" s="8"/>
      <c r="J79" s="8"/>
      <c r="K79" s="8"/>
      <c r="L79" s="8"/>
      <c r="M79" s="8"/>
      <c r="N79" s="8"/>
      <c r="O79" s="8"/>
      <c r="P79" s="8"/>
      <c r="Q79" s="8"/>
      <c r="R79" s="8"/>
    </row>
    <row r="80" ht="15.75" customHeight="1">
      <c r="A80" s="8"/>
      <c r="B80" s="8"/>
      <c r="C80" s="8"/>
      <c r="D80" s="8"/>
      <c r="E80" s="37" t="str">
        <f t="shared" si="2"/>
        <v/>
      </c>
      <c r="F80" s="37" t="str">
        <f t="shared" si="3"/>
        <v/>
      </c>
      <c r="G80" s="37" t="str">
        <f t="shared" si="1"/>
        <v/>
      </c>
      <c r="H80" s="37" t="str">
        <f t="shared" si="4"/>
        <v/>
      </c>
      <c r="I80" s="8"/>
      <c r="J80" s="8"/>
      <c r="K80" s="8"/>
      <c r="L80" s="8"/>
      <c r="M80" s="8"/>
      <c r="N80" s="8"/>
      <c r="O80" s="8"/>
      <c r="P80" s="8"/>
      <c r="Q80" s="8"/>
      <c r="R80" s="8"/>
    </row>
    <row r="81" ht="15.75" customHeight="1">
      <c r="A81" s="8"/>
      <c r="B81" s="8"/>
      <c r="C81" s="8"/>
      <c r="D81" s="8"/>
      <c r="E81" s="37" t="str">
        <f t="shared" si="2"/>
        <v/>
      </c>
      <c r="F81" s="37" t="str">
        <f t="shared" si="3"/>
        <v/>
      </c>
      <c r="G81" s="37" t="str">
        <f t="shared" si="1"/>
        <v/>
      </c>
      <c r="H81" s="37" t="str">
        <f t="shared" si="4"/>
        <v/>
      </c>
      <c r="I81" s="8"/>
      <c r="J81" s="8"/>
      <c r="K81" s="8"/>
      <c r="L81" s="8"/>
      <c r="M81" s="8"/>
      <c r="N81" s="8"/>
      <c r="O81" s="8"/>
      <c r="P81" s="8"/>
      <c r="Q81" s="8"/>
      <c r="R81" s="8"/>
    </row>
    <row r="82" ht="15.75" customHeight="1">
      <c r="A82" s="8"/>
      <c r="B82" s="8"/>
      <c r="C82" s="8"/>
      <c r="D82" s="8"/>
      <c r="E82" s="37" t="str">
        <f t="shared" si="2"/>
        <v/>
      </c>
      <c r="F82" s="37" t="str">
        <f t="shared" si="3"/>
        <v/>
      </c>
      <c r="G82" s="37" t="str">
        <f t="shared" si="1"/>
        <v/>
      </c>
      <c r="H82" s="37" t="str">
        <f t="shared" si="4"/>
        <v/>
      </c>
      <c r="I82" s="8"/>
      <c r="J82" s="8"/>
      <c r="K82" s="8"/>
      <c r="L82" s="8"/>
      <c r="M82" s="8"/>
      <c r="N82" s="8"/>
      <c r="O82" s="8"/>
      <c r="P82" s="8"/>
      <c r="Q82" s="8"/>
      <c r="R82" s="8"/>
    </row>
    <row r="83" ht="15.75" customHeight="1">
      <c r="A83" s="8"/>
      <c r="B83" s="8"/>
      <c r="C83" s="8"/>
      <c r="D83" s="8"/>
      <c r="E83" s="37" t="str">
        <f t="shared" si="2"/>
        <v/>
      </c>
      <c r="F83" s="37" t="str">
        <f t="shared" si="3"/>
        <v/>
      </c>
      <c r="G83" s="37" t="str">
        <f t="shared" si="1"/>
        <v/>
      </c>
      <c r="H83" s="37" t="str">
        <f t="shared" si="4"/>
        <v/>
      </c>
      <c r="I83" s="8"/>
      <c r="J83" s="8"/>
      <c r="K83" s="8"/>
      <c r="L83" s="8"/>
      <c r="M83" s="8"/>
      <c r="N83" s="8"/>
      <c r="O83" s="8"/>
      <c r="P83" s="8"/>
      <c r="Q83" s="8"/>
      <c r="R83" s="8"/>
    </row>
    <row r="84" ht="15.75" customHeight="1">
      <c r="A84" s="8"/>
      <c r="B84" s="8"/>
      <c r="C84" s="8"/>
      <c r="D84" s="8"/>
      <c r="E84" s="37" t="str">
        <f t="shared" si="2"/>
        <v/>
      </c>
      <c r="F84" s="37" t="str">
        <f t="shared" si="3"/>
        <v/>
      </c>
      <c r="G84" s="37" t="str">
        <f t="shared" si="1"/>
        <v/>
      </c>
      <c r="H84" s="37" t="str">
        <f t="shared" si="4"/>
        <v/>
      </c>
      <c r="I84" s="8"/>
      <c r="J84" s="8"/>
      <c r="K84" s="8"/>
      <c r="L84" s="8"/>
      <c r="M84" s="8"/>
      <c r="N84" s="8"/>
      <c r="O84" s="8"/>
      <c r="P84" s="8"/>
      <c r="Q84" s="8"/>
      <c r="R84" s="8"/>
    </row>
    <row r="85" ht="15.75" customHeight="1">
      <c r="A85" s="8"/>
      <c r="B85" s="8"/>
      <c r="C85" s="8"/>
      <c r="D85" s="8"/>
      <c r="E85" s="37" t="str">
        <f t="shared" si="2"/>
        <v/>
      </c>
      <c r="F85" s="37" t="str">
        <f t="shared" si="3"/>
        <v/>
      </c>
      <c r="G85" s="37" t="str">
        <f t="shared" si="1"/>
        <v/>
      </c>
      <c r="H85" s="37" t="str">
        <f t="shared" si="4"/>
        <v/>
      </c>
      <c r="I85" s="8"/>
      <c r="J85" s="8"/>
      <c r="K85" s="8"/>
      <c r="L85" s="8"/>
      <c r="M85" s="8"/>
      <c r="N85" s="8"/>
      <c r="O85" s="8"/>
      <c r="P85" s="8"/>
      <c r="Q85" s="8"/>
      <c r="R85" s="8"/>
    </row>
    <row r="86" ht="15.75" customHeight="1">
      <c r="A86" s="8"/>
      <c r="B86" s="8"/>
      <c r="C86" s="8"/>
      <c r="D86" s="8"/>
      <c r="E86" s="37" t="str">
        <f t="shared" si="2"/>
        <v/>
      </c>
      <c r="F86" s="37" t="str">
        <f t="shared" si="3"/>
        <v/>
      </c>
      <c r="G86" s="37" t="str">
        <f t="shared" si="1"/>
        <v/>
      </c>
      <c r="H86" s="37" t="str">
        <f t="shared" si="4"/>
        <v/>
      </c>
      <c r="I86" s="8"/>
      <c r="J86" s="8"/>
      <c r="K86" s="8"/>
      <c r="L86" s="8"/>
      <c r="M86" s="8"/>
      <c r="N86" s="8"/>
      <c r="O86" s="8"/>
      <c r="P86" s="8"/>
      <c r="Q86" s="8"/>
      <c r="R86" s="8"/>
    </row>
    <row r="87" ht="15.75" customHeight="1">
      <c r="A87" s="8"/>
      <c r="B87" s="8"/>
      <c r="C87" s="8"/>
      <c r="D87" s="8"/>
      <c r="E87" s="37" t="str">
        <f t="shared" si="2"/>
        <v/>
      </c>
      <c r="F87" s="37" t="str">
        <f t="shared" si="3"/>
        <v/>
      </c>
      <c r="G87" s="37" t="str">
        <f t="shared" si="1"/>
        <v/>
      </c>
      <c r="H87" s="37" t="str">
        <f t="shared" si="4"/>
        <v/>
      </c>
      <c r="I87" s="8"/>
      <c r="J87" s="8"/>
      <c r="K87" s="8"/>
      <c r="L87" s="8"/>
      <c r="M87" s="8"/>
      <c r="N87" s="8"/>
      <c r="O87" s="8"/>
      <c r="P87" s="8"/>
      <c r="Q87" s="8"/>
      <c r="R87" s="8"/>
    </row>
    <row r="88" ht="15.75" customHeight="1">
      <c r="A88" s="8"/>
      <c r="B88" s="8"/>
      <c r="C88" s="8"/>
      <c r="D88" s="8"/>
      <c r="E88" s="37" t="str">
        <f t="shared" si="2"/>
        <v/>
      </c>
      <c r="F88" s="37" t="str">
        <f t="shared" si="3"/>
        <v/>
      </c>
      <c r="G88" s="37" t="str">
        <f t="shared" si="1"/>
        <v/>
      </c>
      <c r="H88" s="37" t="str">
        <f t="shared" si="4"/>
        <v/>
      </c>
      <c r="I88" s="8"/>
      <c r="J88" s="8"/>
      <c r="K88" s="8"/>
      <c r="L88" s="8"/>
      <c r="M88" s="8"/>
      <c r="N88" s="8"/>
      <c r="O88" s="8"/>
      <c r="P88" s="8"/>
      <c r="Q88" s="8"/>
      <c r="R88" s="8"/>
    </row>
    <row r="89" ht="15.75" customHeight="1">
      <c r="A89" s="8"/>
      <c r="B89" s="8"/>
      <c r="C89" s="8"/>
      <c r="D89" s="8"/>
      <c r="E89" s="37" t="str">
        <f t="shared" si="2"/>
        <v/>
      </c>
      <c r="F89" s="37" t="str">
        <f t="shared" si="3"/>
        <v/>
      </c>
      <c r="G89" s="37" t="str">
        <f t="shared" si="1"/>
        <v/>
      </c>
      <c r="H89" s="37" t="str">
        <f t="shared" si="4"/>
        <v/>
      </c>
      <c r="I89" s="8"/>
      <c r="J89" s="8"/>
      <c r="K89" s="8"/>
      <c r="L89" s="8"/>
      <c r="M89" s="8"/>
      <c r="N89" s="8"/>
      <c r="O89" s="8"/>
      <c r="P89" s="8"/>
      <c r="Q89" s="8"/>
      <c r="R89" s="8"/>
    </row>
    <row r="90" ht="15.75" customHeight="1">
      <c r="A90" s="8"/>
      <c r="B90" s="8"/>
      <c r="C90" s="8"/>
      <c r="D90" s="8"/>
      <c r="E90" s="37" t="str">
        <f t="shared" si="2"/>
        <v/>
      </c>
      <c r="F90" s="37" t="str">
        <f t="shared" si="3"/>
        <v/>
      </c>
      <c r="G90" s="37" t="str">
        <f t="shared" si="1"/>
        <v/>
      </c>
      <c r="H90" s="37" t="str">
        <f t="shared" si="4"/>
        <v/>
      </c>
      <c r="I90" s="8"/>
      <c r="J90" s="8"/>
      <c r="K90" s="8"/>
      <c r="L90" s="8"/>
      <c r="M90" s="8"/>
      <c r="N90" s="8"/>
      <c r="O90" s="8"/>
      <c r="P90" s="8"/>
      <c r="Q90" s="8"/>
      <c r="R90" s="8"/>
    </row>
    <row r="91" ht="15.75" customHeight="1">
      <c r="A91" s="8"/>
      <c r="B91" s="8"/>
      <c r="C91" s="8"/>
      <c r="D91" s="8"/>
      <c r="E91" s="37" t="str">
        <f t="shared" si="2"/>
        <v/>
      </c>
      <c r="F91" s="37" t="str">
        <f t="shared" si="3"/>
        <v/>
      </c>
      <c r="G91" s="37" t="str">
        <f t="shared" si="1"/>
        <v/>
      </c>
      <c r="H91" s="37" t="str">
        <f t="shared" si="4"/>
        <v/>
      </c>
      <c r="I91" s="8"/>
      <c r="J91" s="8"/>
      <c r="K91" s="8"/>
      <c r="L91" s="8"/>
      <c r="M91" s="8"/>
      <c r="N91" s="8"/>
      <c r="O91" s="8"/>
      <c r="P91" s="8"/>
      <c r="Q91" s="8"/>
      <c r="R91" s="8"/>
    </row>
    <row r="92" ht="15.75" customHeight="1">
      <c r="A92" s="8"/>
      <c r="B92" s="8"/>
      <c r="C92" s="8"/>
      <c r="D92" s="8"/>
      <c r="E92" s="37" t="str">
        <f t="shared" si="2"/>
        <v/>
      </c>
      <c r="F92" s="37" t="str">
        <f t="shared" si="3"/>
        <v/>
      </c>
      <c r="G92" s="37" t="str">
        <f t="shared" si="1"/>
        <v/>
      </c>
      <c r="H92" s="37" t="str">
        <f t="shared" si="4"/>
        <v/>
      </c>
      <c r="I92" s="8"/>
      <c r="J92" s="8"/>
      <c r="K92" s="8"/>
      <c r="L92" s="8"/>
      <c r="M92" s="8"/>
      <c r="N92" s="8"/>
      <c r="O92" s="8"/>
      <c r="P92" s="8"/>
      <c r="Q92" s="8"/>
      <c r="R92" s="8"/>
    </row>
    <row r="93" ht="15.75" customHeight="1">
      <c r="A93" s="8"/>
      <c r="B93" s="8"/>
      <c r="C93" s="8"/>
      <c r="D93" s="8"/>
      <c r="E93" s="37" t="str">
        <f t="shared" si="2"/>
        <v/>
      </c>
      <c r="F93" s="37" t="str">
        <f t="shared" si="3"/>
        <v/>
      </c>
      <c r="G93" s="37" t="str">
        <f t="shared" si="1"/>
        <v/>
      </c>
      <c r="H93" s="37" t="str">
        <f t="shared" si="4"/>
        <v/>
      </c>
      <c r="I93" s="8"/>
      <c r="J93" s="8"/>
      <c r="K93" s="8"/>
      <c r="L93" s="8"/>
      <c r="M93" s="8"/>
      <c r="N93" s="8"/>
      <c r="O93" s="8"/>
      <c r="P93" s="8"/>
      <c r="Q93" s="8"/>
      <c r="R93" s="8"/>
    </row>
    <row r="94" ht="15.75" customHeight="1">
      <c r="A94" s="8"/>
      <c r="B94" s="8"/>
      <c r="C94" s="8"/>
      <c r="D94" s="8"/>
      <c r="E94" s="37" t="str">
        <f t="shared" si="2"/>
        <v/>
      </c>
      <c r="F94" s="37" t="str">
        <f t="shared" si="3"/>
        <v/>
      </c>
      <c r="G94" s="37" t="str">
        <f t="shared" si="1"/>
        <v/>
      </c>
      <c r="H94" s="37" t="str">
        <f t="shared" si="4"/>
        <v/>
      </c>
      <c r="I94" s="8"/>
      <c r="J94" s="8"/>
      <c r="K94" s="8"/>
      <c r="L94" s="8"/>
      <c r="M94" s="8"/>
      <c r="N94" s="8"/>
      <c r="O94" s="8"/>
      <c r="P94" s="8"/>
      <c r="Q94" s="8"/>
      <c r="R94" s="8"/>
    </row>
    <row r="95" ht="15.75" customHeight="1">
      <c r="A95" s="8"/>
      <c r="B95" s="8"/>
      <c r="C95" s="8"/>
      <c r="D95" s="8"/>
      <c r="E95" s="37" t="str">
        <f t="shared" si="2"/>
        <v/>
      </c>
      <c r="F95" s="37" t="str">
        <f t="shared" si="3"/>
        <v/>
      </c>
      <c r="G95" s="37" t="str">
        <f t="shared" si="1"/>
        <v/>
      </c>
      <c r="H95" s="37" t="str">
        <f t="shared" si="4"/>
        <v/>
      </c>
      <c r="I95" s="8"/>
      <c r="J95" s="8"/>
      <c r="K95" s="8"/>
      <c r="L95" s="8"/>
      <c r="M95" s="8"/>
      <c r="N95" s="8"/>
      <c r="O95" s="8"/>
      <c r="P95" s="8"/>
      <c r="Q95" s="8"/>
      <c r="R95" s="8"/>
    </row>
    <row r="96" ht="15.75" customHeight="1">
      <c r="A96" s="8"/>
      <c r="B96" s="8"/>
      <c r="C96" s="8"/>
      <c r="D96" s="8"/>
      <c r="E96" s="37" t="str">
        <f t="shared" si="2"/>
        <v/>
      </c>
      <c r="F96" s="37" t="str">
        <f t="shared" si="3"/>
        <v/>
      </c>
      <c r="G96" s="37" t="str">
        <f t="shared" si="1"/>
        <v/>
      </c>
      <c r="H96" s="37" t="str">
        <f t="shared" si="4"/>
        <v/>
      </c>
      <c r="I96" s="8"/>
      <c r="J96" s="8"/>
      <c r="K96" s="8"/>
      <c r="L96" s="8"/>
      <c r="M96" s="8"/>
      <c r="N96" s="8"/>
      <c r="O96" s="8"/>
      <c r="P96" s="8"/>
      <c r="Q96" s="8"/>
      <c r="R96" s="8"/>
    </row>
    <row r="97" ht="15.75" customHeight="1">
      <c r="A97" s="8"/>
      <c r="B97" s="8"/>
      <c r="C97" s="8"/>
      <c r="D97" s="8"/>
      <c r="E97" s="37" t="str">
        <f t="shared" si="2"/>
        <v/>
      </c>
      <c r="F97" s="37" t="str">
        <f t="shared" si="3"/>
        <v/>
      </c>
      <c r="G97" s="37" t="str">
        <f t="shared" si="1"/>
        <v/>
      </c>
      <c r="H97" s="37" t="str">
        <f t="shared" si="4"/>
        <v/>
      </c>
      <c r="I97" s="8"/>
      <c r="J97" s="8"/>
      <c r="K97" s="8"/>
      <c r="L97" s="8"/>
      <c r="M97" s="8"/>
      <c r="N97" s="8"/>
      <c r="O97" s="8"/>
      <c r="P97" s="8"/>
      <c r="Q97" s="8"/>
      <c r="R97" s="8"/>
    </row>
    <row r="98" ht="15.75" customHeight="1">
      <c r="A98" s="8"/>
      <c r="B98" s="8"/>
      <c r="C98" s="8"/>
      <c r="D98" s="8"/>
      <c r="E98" s="37" t="str">
        <f t="shared" si="2"/>
        <v/>
      </c>
      <c r="F98" s="37" t="str">
        <f t="shared" si="3"/>
        <v/>
      </c>
      <c r="G98" s="37" t="str">
        <f t="shared" si="1"/>
        <v/>
      </c>
      <c r="H98" s="37" t="str">
        <f t="shared" si="4"/>
        <v/>
      </c>
      <c r="I98" s="8"/>
      <c r="J98" s="8"/>
      <c r="K98" s="8"/>
      <c r="L98" s="8"/>
      <c r="M98" s="8"/>
      <c r="N98" s="8"/>
      <c r="O98" s="8"/>
      <c r="P98" s="8"/>
      <c r="Q98" s="8"/>
      <c r="R98" s="8"/>
    </row>
    <row r="99" ht="15.75" customHeight="1">
      <c r="A99" s="8"/>
      <c r="B99" s="8"/>
      <c r="C99" s="8"/>
      <c r="D99" s="8"/>
      <c r="E99" s="37" t="str">
        <f t="shared" si="2"/>
        <v/>
      </c>
      <c r="F99" s="37" t="str">
        <f t="shared" si="3"/>
        <v/>
      </c>
      <c r="G99" s="37" t="str">
        <f t="shared" si="1"/>
        <v/>
      </c>
      <c r="H99" s="37" t="str">
        <f t="shared" si="4"/>
        <v/>
      </c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ht="15.75" customHeight="1">
      <c r="A100" s="8"/>
      <c r="B100" s="8"/>
      <c r="C100" s="8"/>
      <c r="D100" s="8"/>
      <c r="E100" s="37" t="str">
        <f t="shared" si="2"/>
        <v/>
      </c>
      <c r="F100" s="37" t="str">
        <f t="shared" si="3"/>
        <v/>
      </c>
      <c r="G100" s="37" t="str">
        <f t="shared" si="1"/>
        <v/>
      </c>
      <c r="H100" s="37" t="str">
        <f t="shared" si="4"/>
        <v/>
      </c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ht="15.75" customHeight="1">
      <c r="A101" s="8"/>
      <c r="B101" s="8"/>
      <c r="C101" s="8"/>
      <c r="D101" s="8"/>
      <c r="E101" s="37" t="str">
        <f t="shared" si="2"/>
        <v/>
      </c>
      <c r="F101" s="37" t="str">
        <f t="shared" si="3"/>
        <v/>
      </c>
      <c r="G101" s="37" t="str">
        <f t="shared" si="1"/>
        <v/>
      </c>
      <c r="H101" s="37" t="str">
        <f t="shared" si="4"/>
        <v/>
      </c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ht="15.75" customHeight="1">
      <c r="A102" s="8"/>
      <c r="B102" s="8"/>
      <c r="C102" s="8"/>
      <c r="D102" s="8"/>
      <c r="E102" s="37" t="str">
        <f t="shared" si="2"/>
        <v/>
      </c>
      <c r="F102" s="37" t="str">
        <f t="shared" si="3"/>
        <v/>
      </c>
      <c r="G102" s="37" t="str">
        <f t="shared" si="1"/>
        <v/>
      </c>
      <c r="H102" s="37" t="str">
        <f t="shared" si="4"/>
        <v/>
      </c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ht="15.75" customHeight="1">
      <c r="A103" s="8"/>
      <c r="B103" s="8"/>
      <c r="C103" s="8"/>
      <c r="D103" s="8"/>
      <c r="E103" s="37" t="str">
        <f t="shared" si="2"/>
        <v/>
      </c>
      <c r="F103" s="37" t="str">
        <f t="shared" si="3"/>
        <v/>
      </c>
      <c r="G103" s="37" t="str">
        <f t="shared" si="1"/>
        <v/>
      </c>
      <c r="H103" s="37" t="str">
        <f t="shared" si="4"/>
        <v/>
      </c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ht="15.75" customHeight="1">
      <c r="A104" s="8"/>
      <c r="B104" s="8"/>
      <c r="C104" s="8"/>
      <c r="D104" s="8"/>
      <c r="E104" s="37" t="str">
        <f t="shared" si="2"/>
        <v/>
      </c>
      <c r="F104" s="37" t="str">
        <f t="shared" si="3"/>
        <v/>
      </c>
      <c r="G104" s="37" t="str">
        <f t="shared" si="1"/>
        <v/>
      </c>
      <c r="H104" s="37" t="str">
        <f t="shared" si="4"/>
        <v/>
      </c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ht="15.75" customHeight="1">
      <c r="A105" s="8"/>
      <c r="B105" s="8"/>
      <c r="C105" s="8"/>
      <c r="D105" s="8"/>
      <c r="E105" s="37" t="str">
        <f t="shared" si="2"/>
        <v/>
      </c>
      <c r="F105" s="37" t="str">
        <f t="shared" si="3"/>
        <v/>
      </c>
      <c r="G105" s="37" t="str">
        <f t="shared" si="1"/>
        <v/>
      </c>
      <c r="H105" s="37" t="str">
        <f t="shared" si="4"/>
        <v/>
      </c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ht="15.75" customHeight="1">
      <c r="A106" s="8"/>
      <c r="B106" s="8"/>
      <c r="C106" s="8"/>
      <c r="D106" s="8"/>
      <c r="E106" s="37" t="str">
        <f t="shared" si="2"/>
        <v/>
      </c>
      <c r="F106" s="37" t="str">
        <f t="shared" si="3"/>
        <v/>
      </c>
      <c r="G106" s="37" t="str">
        <f t="shared" si="1"/>
        <v/>
      </c>
      <c r="H106" s="37" t="str">
        <f t="shared" si="4"/>
        <v/>
      </c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t="15.75" customHeight="1">
      <c r="A107" s="8"/>
      <c r="B107" s="8"/>
      <c r="C107" s="8"/>
      <c r="D107" s="8"/>
      <c r="E107" s="37" t="str">
        <f t="shared" si="2"/>
        <v/>
      </c>
      <c r="F107" s="37" t="str">
        <f t="shared" si="3"/>
        <v/>
      </c>
      <c r="G107" s="37" t="str">
        <f t="shared" si="1"/>
        <v/>
      </c>
      <c r="H107" s="37" t="str">
        <f t="shared" si="4"/>
        <v/>
      </c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t="15.75" customHeight="1">
      <c r="A108" s="8"/>
      <c r="B108" s="8"/>
      <c r="C108" s="8"/>
      <c r="D108" s="8"/>
      <c r="E108" s="37" t="str">
        <f t="shared" si="2"/>
        <v/>
      </c>
      <c r="F108" s="37" t="str">
        <f t="shared" si="3"/>
        <v/>
      </c>
      <c r="G108" s="37" t="str">
        <f t="shared" si="1"/>
        <v/>
      </c>
      <c r="H108" s="37" t="str">
        <f t="shared" si="4"/>
        <v/>
      </c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ht="15.75" customHeight="1">
      <c r="A109" s="8"/>
      <c r="B109" s="8"/>
      <c r="C109" s="8"/>
      <c r="D109" s="8"/>
      <c r="E109" s="37" t="str">
        <f t="shared" si="2"/>
        <v/>
      </c>
      <c r="F109" s="37" t="str">
        <f t="shared" si="3"/>
        <v/>
      </c>
      <c r="G109" s="37" t="str">
        <f t="shared" si="1"/>
        <v/>
      </c>
      <c r="H109" s="37" t="str">
        <f t="shared" si="4"/>
        <v/>
      </c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ht="15.75" customHeight="1">
      <c r="A110" s="8"/>
      <c r="B110" s="8"/>
      <c r="C110" s="8"/>
      <c r="D110" s="8"/>
      <c r="E110" s="37" t="str">
        <f t="shared" si="2"/>
        <v/>
      </c>
      <c r="F110" s="37" t="str">
        <f t="shared" si="3"/>
        <v/>
      </c>
      <c r="G110" s="37" t="str">
        <f t="shared" si="1"/>
        <v/>
      </c>
      <c r="H110" s="37" t="str">
        <f t="shared" si="4"/>
        <v/>
      </c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ht="15.75" customHeight="1">
      <c r="A111" s="8"/>
      <c r="B111" s="8"/>
      <c r="C111" s="8"/>
      <c r="D111" s="8"/>
      <c r="E111" s="37" t="str">
        <f t="shared" si="2"/>
        <v/>
      </c>
      <c r="F111" s="37" t="str">
        <f t="shared" si="3"/>
        <v/>
      </c>
      <c r="G111" s="37" t="str">
        <f t="shared" si="1"/>
        <v/>
      </c>
      <c r="H111" s="37" t="str">
        <f t="shared" si="4"/>
        <v/>
      </c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ht="15.75" customHeight="1">
      <c r="A112" s="8"/>
      <c r="B112" s="8"/>
      <c r="C112" s="8"/>
      <c r="D112" s="8"/>
      <c r="E112" s="37" t="str">
        <f t="shared" si="2"/>
        <v/>
      </c>
      <c r="F112" s="37" t="str">
        <f t="shared" si="3"/>
        <v/>
      </c>
      <c r="G112" s="37" t="str">
        <f t="shared" si="1"/>
        <v/>
      </c>
      <c r="H112" s="37" t="str">
        <f t="shared" si="4"/>
        <v/>
      </c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ht="15.75" customHeight="1">
      <c r="A113" s="8"/>
      <c r="B113" s="8"/>
      <c r="C113" s="8"/>
      <c r="D113" s="8"/>
      <c r="E113" s="37" t="str">
        <f t="shared" si="2"/>
        <v/>
      </c>
      <c r="F113" s="37" t="str">
        <f t="shared" si="3"/>
        <v/>
      </c>
      <c r="G113" s="37" t="str">
        <f t="shared" si="1"/>
        <v/>
      </c>
      <c r="H113" s="37" t="str">
        <f t="shared" si="4"/>
        <v/>
      </c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ht="15.75" customHeight="1">
      <c r="A114" s="8"/>
      <c r="B114" s="8"/>
      <c r="C114" s="8"/>
      <c r="D114" s="8"/>
      <c r="E114" s="37" t="str">
        <f t="shared" si="2"/>
        <v/>
      </c>
      <c r="F114" s="37" t="str">
        <f t="shared" si="3"/>
        <v/>
      </c>
      <c r="G114" s="37" t="str">
        <f t="shared" si="1"/>
        <v/>
      </c>
      <c r="H114" s="37" t="str">
        <f t="shared" si="4"/>
        <v/>
      </c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ht="15.75" customHeight="1">
      <c r="A115" s="8"/>
      <c r="B115" s="8"/>
      <c r="C115" s="8"/>
      <c r="D115" s="8"/>
      <c r="E115" s="37" t="str">
        <f t="shared" si="2"/>
        <v/>
      </c>
      <c r="F115" s="37" t="str">
        <f t="shared" si="3"/>
        <v/>
      </c>
      <c r="G115" s="37" t="str">
        <f t="shared" si="1"/>
        <v/>
      </c>
      <c r="H115" s="37" t="str">
        <f t="shared" si="4"/>
        <v/>
      </c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ht="15.75" customHeight="1">
      <c r="A116" s="8"/>
      <c r="B116" s="8"/>
      <c r="C116" s="8"/>
      <c r="D116" s="8"/>
      <c r="E116" s="37" t="str">
        <f t="shared" si="2"/>
        <v/>
      </c>
      <c r="F116" s="37" t="str">
        <f t="shared" si="3"/>
        <v/>
      </c>
      <c r="G116" s="37" t="str">
        <f t="shared" si="1"/>
        <v/>
      </c>
      <c r="H116" s="37" t="str">
        <f t="shared" si="4"/>
        <v/>
      </c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ht="15.75" customHeight="1">
      <c r="A117" s="8"/>
      <c r="B117" s="8"/>
      <c r="C117" s="8"/>
      <c r="D117" s="8"/>
      <c r="E117" s="37" t="str">
        <f t="shared" si="2"/>
        <v/>
      </c>
      <c r="F117" s="37" t="str">
        <f t="shared" si="3"/>
        <v/>
      </c>
      <c r="G117" s="37" t="str">
        <f t="shared" si="1"/>
        <v/>
      </c>
      <c r="H117" s="37" t="str">
        <f t="shared" si="4"/>
        <v/>
      </c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ht="15.75" customHeight="1">
      <c r="A118" s="8"/>
      <c r="B118" s="8"/>
      <c r="C118" s="8"/>
      <c r="D118" s="8"/>
      <c r="E118" s="37" t="str">
        <f t="shared" si="2"/>
        <v/>
      </c>
      <c r="F118" s="37" t="str">
        <f t="shared" si="3"/>
        <v/>
      </c>
      <c r="G118" s="37" t="str">
        <f t="shared" si="1"/>
        <v/>
      </c>
      <c r="H118" s="37" t="str">
        <f t="shared" si="4"/>
        <v/>
      </c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ht="15.75" customHeight="1">
      <c r="A119" s="8"/>
      <c r="B119" s="8"/>
      <c r="C119" s="8"/>
      <c r="D119" s="8"/>
      <c r="E119" s="37" t="str">
        <f t="shared" si="2"/>
        <v/>
      </c>
      <c r="F119" s="37" t="str">
        <f t="shared" si="3"/>
        <v/>
      </c>
      <c r="G119" s="37" t="str">
        <f t="shared" si="1"/>
        <v/>
      </c>
      <c r="H119" s="37" t="str">
        <f t="shared" si="4"/>
        <v/>
      </c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ht="15.75" customHeight="1">
      <c r="A120" s="8"/>
      <c r="B120" s="8"/>
      <c r="C120" s="8"/>
      <c r="D120" s="8"/>
      <c r="E120" s="37" t="str">
        <f t="shared" si="2"/>
        <v/>
      </c>
      <c r="F120" s="37" t="str">
        <f t="shared" si="3"/>
        <v/>
      </c>
      <c r="G120" s="37" t="str">
        <f t="shared" si="1"/>
        <v/>
      </c>
      <c r="H120" s="37" t="str">
        <f t="shared" si="4"/>
        <v/>
      </c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ht="15.75" customHeight="1">
      <c r="A121" s="8"/>
      <c r="B121" s="8"/>
      <c r="C121" s="8"/>
      <c r="D121" s="8"/>
      <c r="E121" s="37" t="str">
        <f t="shared" si="2"/>
        <v/>
      </c>
      <c r="F121" s="37" t="str">
        <f t="shared" si="3"/>
        <v/>
      </c>
      <c r="G121" s="37" t="str">
        <f t="shared" si="1"/>
        <v/>
      </c>
      <c r="H121" s="37" t="str">
        <f t="shared" si="4"/>
        <v/>
      </c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ht="15.75" customHeight="1">
      <c r="A122" s="8"/>
      <c r="B122" s="8"/>
      <c r="C122" s="8"/>
      <c r="D122" s="8"/>
      <c r="E122" s="37" t="str">
        <f t="shared" si="2"/>
        <v/>
      </c>
      <c r="F122" s="37" t="str">
        <f t="shared" si="3"/>
        <v/>
      </c>
      <c r="G122" s="37" t="str">
        <f t="shared" si="1"/>
        <v/>
      </c>
      <c r="H122" s="37" t="str">
        <f t="shared" si="4"/>
        <v/>
      </c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ht="15.75" customHeight="1">
      <c r="A123" s="8"/>
      <c r="B123" s="8"/>
      <c r="C123" s="8"/>
      <c r="D123" s="8"/>
      <c r="E123" s="37" t="str">
        <f t="shared" si="2"/>
        <v/>
      </c>
      <c r="F123" s="37" t="str">
        <f t="shared" si="3"/>
        <v/>
      </c>
      <c r="G123" s="37" t="str">
        <f t="shared" si="1"/>
        <v/>
      </c>
      <c r="H123" s="37" t="str">
        <f t="shared" si="4"/>
        <v/>
      </c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ht="15.75" customHeight="1">
      <c r="A124" s="8"/>
      <c r="B124" s="8"/>
      <c r="C124" s="8"/>
      <c r="D124" s="8"/>
      <c r="E124" s="37" t="str">
        <f t="shared" si="2"/>
        <v/>
      </c>
      <c r="F124" s="37" t="str">
        <f t="shared" si="3"/>
        <v/>
      </c>
      <c r="G124" s="37" t="str">
        <f t="shared" si="1"/>
        <v/>
      </c>
      <c r="H124" s="37" t="str">
        <f t="shared" si="4"/>
        <v/>
      </c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ht="15.75" customHeight="1">
      <c r="A125" s="8"/>
      <c r="B125" s="8"/>
      <c r="C125" s="8"/>
      <c r="D125" s="8"/>
      <c r="E125" s="37" t="str">
        <f t="shared" si="2"/>
        <v/>
      </c>
      <c r="F125" s="37" t="str">
        <f t="shared" si="3"/>
        <v/>
      </c>
      <c r="G125" s="37" t="str">
        <f t="shared" si="1"/>
        <v/>
      </c>
      <c r="H125" s="37" t="str">
        <f t="shared" si="4"/>
        <v/>
      </c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ht="15.75" customHeight="1">
      <c r="A126" s="8"/>
      <c r="B126" s="8"/>
      <c r="C126" s="8"/>
      <c r="D126" s="8"/>
      <c r="E126" s="37" t="str">
        <f t="shared" si="2"/>
        <v/>
      </c>
      <c r="F126" s="37" t="str">
        <f t="shared" si="3"/>
        <v/>
      </c>
      <c r="G126" s="37" t="str">
        <f t="shared" si="1"/>
        <v/>
      </c>
      <c r="H126" s="37" t="str">
        <f t="shared" si="4"/>
        <v/>
      </c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ht="15.75" customHeight="1">
      <c r="A127" s="8"/>
      <c r="B127" s="8"/>
      <c r="C127" s="8"/>
      <c r="D127" s="8"/>
      <c r="E127" s="37" t="str">
        <f t="shared" si="2"/>
        <v/>
      </c>
      <c r="F127" s="37" t="str">
        <f t="shared" si="3"/>
        <v/>
      </c>
      <c r="G127" s="37" t="str">
        <f t="shared" si="1"/>
        <v/>
      </c>
      <c r="H127" s="37" t="str">
        <f t="shared" si="4"/>
        <v/>
      </c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ht="15.75" customHeight="1">
      <c r="A128" s="8"/>
      <c r="B128" s="8"/>
      <c r="C128" s="8"/>
      <c r="D128" s="8"/>
      <c r="E128" s="37" t="str">
        <f t="shared" si="2"/>
        <v/>
      </c>
      <c r="F128" s="37" t="str">
        <f t="shared" si="3"/>
        <v/>
      </c>
      <c r="G128" s="37" t="str">
        <f t="shared" si="1"/>
        <v/>
      </c>
      <c r="H128" s="37" t="str">
        <f t="shared" si="4"/>
        <v/>
      </c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ht="15.75" customHeight="1">
      <c r="A129" s="8"/>
      <c r="B129" s="8"/>
      <c r="C129" s="8"/>
      <c r="D129" s="8"/>
      <c r="E129" s="37" t="str">
        <f t="shared" si="2"/>
        <v/>
      </c>
      <c r="F129" s="37" t="str">
        <f t="shared" si="3"/>
        <v/>
      </c>
      <c r="G129" s="37" t="str">
        <f t="shared" si="1"/>
        <v/>
      </c>
      <c r="H129" s="37" t="str">
        <f t="shared" si="4"/>
        <v/>
      </c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ht="15.75" customHeight="1">
      <c r="A130" s="8"/>
      <c r="B130" s="8"/>
      <c r="C130" s="8"/>
      <c r="D130" s="8"/>
      <c r="E130" s="37" t="str">
        <f t="shared" si="2"/>
        <v/>
      </c>
      <c r="F130" s="37" t="str">
        <f t="shared" si="3"/>
        <v/>
      </c>
      <c r="G130" s="37" t="str">
        <f t="shared" si="1"/>
        <v/>
      </c>
      <c r="H130" s="37" t="str">
        <f t="shared" si="4"/>
        <v/>
      </c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ht="15.75" customHeight="1">
      <c r="A131" s="8"/>
      <c r="B131" s="8"/>
      <c r="C131" s="8"/>
      <c r="D131" s="8"/>
      <c r="E131" s="37" t="str">
        <f t="shared" si="2"/>
        <v/>
      </c>
      <c r="F131" s="37" t="str">
        <f t="shared" si="3"/>
        <v/>
      </c>
      <c r="G131" s="37" t="str">
        <f t="shared" si="1"/>
        <v/>
      </c>
      <c r="H131" s="37" t="str">
        <f t="shared" si="4"/>
        <v/>
      </c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ht="15.75" customHeight="1">
      <c r="A132" s="8"/>
      <c r="B132" s="8"/>
      <c r="C132" s="8"/>
      <c r="D132" s="8"/>
      <c r="E132" s="37" t="str">
        <f t="shared" si="2"/>
        <v/>
      </c>
      <c r="F132" s="37" t="str">
        <f t="shared" si="3"/>
        <v/>
      </c>
      <c r="G132" s="37" t="str">
        <f t="shared" si="1"/>
        <v/>
      </c>
      <c r="H132" s="37" t="str">
        <f t="shared" si="4"/>
        <v/>
      </c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ht="15.75" customHeight="1">
      <c r="A133" s="8"/>
      <c r="B133" s="8"/>
      <c r="C133" s="8"/>
      <c r="D133" s="8"/>
      <c r="E133" s="37" t="str">
        <f t="shared" si="2"/>
        <v/>
      </c>
      <c r="F133" s="37" t="str">
        <f t="shared" si="3"/>
        <v/>
      </c>
      <c r="G133" s="37" t="str">
        <f t="shared" si="1"/>
        <v/>
      </c>
      <c r="H133" s="37" t="str">
        <f t="shared" si="4"/>
        <v/>
      </c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ht="15.75" customHeight="1">
      <c r="A134" s="8"/>
      <c r="B134" s="8"/>
      <c r="C134" s="8"/>
      <c r="D134" s="8"/>
      <c r="E134" s="37" t="str">
        <f t="shared" si="2"/>
        <v/>
      </c>
      <c r="F134" s="37" t="str">
        <f t="shared" si="3"/>
        <v/>
      </c>
      <c r="G134" s="37" t="str">
        <f t="shared" si="1"/>
        <v/>
      </c>
      <c r="H134" s="37" t="str">
        <f t="shared" si="4"/>
        <v/>
      </c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ht="15.75" customHeight="1">
      <c r="A135" s="8"/>
      <c r="B135" s="8"/>
      <c r="C135" s="8"/>
      <c r="D135" s="8"/>
      <c r="E135" s="37" t="str">
        <f t="shared" si="2"/>
        <v/>
      </c>
      <c r="F135" s="37" t="str">
        <f t="shared" si="3"/>
        <v/>
      </c>
      <c r="G135" s="37" t="str">
        <f t="shared" si="1"/>
        <v/>
      </c>
      <c r="H135" s="37" t="str">
        <f t="shared" si="4"/>
        <v/>
      </c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ht="15.75" customHeight="1">
      <c r="A136" s="8"/>
      <c r="B136" s="8"/>
      <c r="C136" s="8"/>
      <c r="D136" s="8"/>
      <c r="E136" s="37" t="str">
        <f t="shared" si="2"/>
        <v/>
      </c>
      <c r="F136" s="37" t="str">
        <f t="shared" si="3"/>
        <v/>
      </c>
      <c r="G136" s="37" t="str">
        <f t="shared" si="1"/>
        <v/>
      </c>
      <c r="H136" s="37" t="str">
        <f t="shared" si="4"/>
        <v/>
      </c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ht="15.75" customHeight="1">
      <c r="A137" s="8"/>
      <c r="B137" s="8"/>
      <c r="C137" s="8"/>
      <c r="D137" s="8"/>
      <c r="E137" s="37" t="str">
        <f t="shared" si="2"/>
        <v/>
      </c>
      <c r="F137" s="37" t="str">
        <f t="shared" si="3"/>
        <v/>
      </c>
      <c r="G137" s="37" t="str">
        <f t="shared" si="1"/>
        <v/>
      </c>
      <c r="H137" s="37" t="str">
        <f t="shared" si="4"/>
        <v/>
      </c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ht="15.75" customHeight="1">
      <c r="A138" s="8"/>
      <c r="B138" s="8"/>
      <c r="C138" s="8"/>
      <c r="D138" s="8"/>
      <c r="E138" s="37" t="str">
        <f t="shared" si="2"/>
        <v/>
      </c>
      <c r="F138" s="37" t="str">
        <f t="shared" si="3"/>
        <v/>
      </c>
      <c r="G138" s="37" t="str">
        <f t="shared" si="1"/>
        <v/>
      </c>
      <c r="H138" s="37" t="str">
        <f t="shared" si="4"/>
        <v/>
      </c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ht="15.75" customHeight="1">
      <c r="A139" s="8"/>
      <c r="B139" s="8"/>
      <c r="C139" s="8"/>
      <c r="D139" s="8"/>
      <c r="E139" s="37" t="str">
        <f t="shared" si="2"/>
        <v/>
      </c>
      <c r="F139" s="37" t="str">
        <f t="shared" si="3"/>
        <v/>
      </c>
      <c r="G139" s="37" t="str">
        <f t="shared" si="1"/>
        <v/>
      </c>
      <c r="H139" s="37" t="str">
        <f t="shared" si="4"/>
        <v/>
      </c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ht="15.75" customHeight="1">
      <c r="A140" s="8"/>
      <c r="B140" s="8"/>
      <c r="C140" s="8"/>
      <c r="D140" s="8"/>
      <c r="E140" s="37" t="str">
        <f t="shared" si="2"/>
        <v/>
      </c>
      <c r="F140" s="37" t="str">
        <f t="shared" si="3"/>
        <v/>
      </c>
      <c r="G140" s="37" t="str">
        <f t="shared" si="1"/>
        <v/>
      </c>
      <c r="H140" s="37" t="str">
        <f t="shared" si="4"/>
        <v/>
      </c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ht="15.75" customHeight="1">
      <c r="A141" s="8"/>
      <c r="B141" s="8"/>
      <c r="C141" s="8"/>
      <c r="D141" s="8"/>
      <c r="E141" s="37" t="str">
        <f t="shared" si="2"/>
        <v/>
      </c>
      <c r="F141" s="37" t="str">
        <f t="shared" si="3"/>
        <v/>
      </c>
      <c r="G141" s="37" t="str">
        <f t="shared" si="1"/>
        <v/>
      </c>
      <c r="H141" s="37" t="str">
        <f t="shared" si="4"/>
        <v/>
      </c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ht="15.75" customHeight="1">
      <c r="A142" s="8"/>
      <c r="B142" s="8"/>
      <c r="C142" s="8"/>
      <c r="D142" s="8"/>
      <c r="E142" s="37" t="str">
        <f t="shared" si="2"/>
        <v/>
      </c>
      <c r="F142" s="37" t="str">
        <f t="shared" si="3"/>
        <v/>
      </c>
      <c r="G142" s="37" t="str">
        <f t="shared" si="1"/>
        <v/>
      </c>
      <c r="H142" s="37" t="str">
        <f t="shared" si="4"/>
        <v/>
      </c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ht="15.75" customHeight="1">
      <c r="A143" s="8"/>
      <c r="B143" s="8"/>
      <c r="C143" s="8"/>
      <c r="D143" s="8"/>
      <c r="E143" s="37" t="str">
        <f t="shared" si="2"/>
        <v/>
      </c>
      <c r="F143" s="37" t="str">
        <f t="shared" si="3"/>
        <v/>
      </c>
      <c r="G143" s="37" t="str">
        <f t="shared" si="1"/>
        <v/>
      </c>
      <c r="H143" s="37" t="str">
        <f t="shared" si="4"/>
        <v/>
      </c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ht="15.75" customHeight="1">
      <c r="A144" s="8"/>
      <c r="B144" s="8"/>
      <c r="C144" s="8"/>
      <c r="D144" s="8"/>
      <c r="E144" s="37" t="str">
        <f t="shared" si="2"/>
        <v/>
      </c>
      <c r="F144" s="37" t="str">
        <f t="shared" si="3"/>
        <v/>
      </c>
      <c r="G144" s="37" t="str">
        <f t="shared" si="1"/>
        <v/>
      </c>
      <c r="H144" s="37" t="str">
        <f t="shared" si="4"/>
        <v/>
      </c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ht="15.75" customHeight="1">
      <c r="A145" s="8"/>
      <c r="B145" s="8"/>
      <c r="C145" s="8"/>
      <c r="D145" s="8"/>
      <c r="E145" s="37" t="str">
        <f t="shared" si="2"/>
        <v/>
      </c>
      <c r="F145" s="37" t="str">
        <f t="shared" si="3"/>
        <v/>
      </c>
      <c r="G145" s="37" t="str">
        <f t="shared" si="1"/>
        <v/>
      </c>
      <c r="H145" s="37" t="str">
        <f t="shared" si="4"/>
        <v/>
      </c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ht="15.75" customHeight="1">
      <c r="A146" s="8"/>
      <c r="B146" s="8"/>
      <c r="C146" s="8"/>
      <c r="D146" s="8"/>
      <c r="E146" s="37" t="str">
        <f t="shared" si="2"/>
        <v/>
      </c>
      <c r="F146" s="37" t="str">
        <f t="shared" si="3"/>
        <v/>
      </c>
      <c r="G146" s="37" t="str">
        <f t="shared" si="1"/>
        <v/>
      </c>
      <c r="H146" s="37" t="str">
        <f t="shared" si="4"/>
        <v/>
      </c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ht="15.75" customHeight="1">
      <c r="A147" s="8"/>
      <c r="B147" s="8"/>
      <c r="C147" s="8"/>
      <c r="D147" s="8"/>
      <c r="E147" s="37" t="str">
        <f t="shared" si="2"/>
        <v/>
      </c>
      <c r="F147" s="37" t="str">
        <f t="shared" si="3"/>
        <v/>
      </c>
      <c r="G147" s="37" t="str">
        <f t="shared" si="1"/>
        <v/>
      </c>
      <c r="H147" s="37" t="str">
        <f t="shared" si="4"/>
        <v/>
      </c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ht="15.75" customHeight="1">
      <c r="A148" s="8"/>
      <c r="B148" s="8"/>
      <c r="C148" s="8"/>
      <c r="D148" s="8"/>
      <c r="E148" s="37" t="str">
        <f t="shared" si="2"/>
        <v/>
      </c>
      <c r="F148" s="37" t="str">
        <f t="shared" si="3"/>
        <v/>
      </c>
      <c r="G148" s="37" t="str">
        <f t="shared" si="1"/>
        <v/>
      </c>
      <c r="H148" s="37" t="str">
        <f t="shared" si="4"/>
        <v/>
      </c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ht="15.75" customHeight="1">
      <c r="A149" s="8"/>
      <c r="B149" s="8"/>
      <c r="C149" s="8"/>
      <c r="D149" s="8"/>
      <c r="E149" s="37" t="str">
        <f t="shared" si="2"/>
        <v/>
      </c>
      <c r="F149" s="37" t="str">
        <f t="shared" si="3"/>
        <v/>
      </c>
      <c r="G149" s="37" t="str">
        <f t="shared" si="1"/>
        <v/>
      </c>
      <c r="H149" s="37" t="str">
        <f t="shared" si="4"/>
        <v/>
      </c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ht="15.75" customHeight="1">
      <c r="A150" s="8"/>
      <c r="B150" s="8"/>
      <c r="C150" s="8"/>
      <c r="D150" s="8"/>
      <c r="E150" s="37" t="str">
        <f t="shared" si="2"/>
        <v/>
      </c>
      <c r="F150" s="37" t="str">
        <f t="shared" si="3"/>
        <v/>
      </c>
      <c r="G150" s="37" t="str">
        <f t="shared" si="1"/>
        <v/>
      </c>
      <c r="H150" s="37" t="str">
        <f t="shared" si="4"/>
        <v/>
      </c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ht="15.75" customHeight="1">
      <c r="A151" s="8"/>
      <c r="B151" s="8"/>
      <c r="C151" s="8"/>
      <c r="D151" s="8"/>
      <c r="E151" s="37" t="str">
        <f t="shared" si="2"/>
        <v/>
      </c>
      <c r="F151" s="37" t="str">
        <f t="shared" si="3"/>
        <v/>
      </c>
      <c r="G151" s="37" t="str">
        <f t="shared" si="1"/>
        <v/>
      </c>
      <c r="H151" s="37" t="str">
        <f t="shared" si="4"/>
        <v/>
      </c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ht="15.75" customHeight="1">
      <c r="A152" s="8"/>
      <c r="B152" s="8"/>
      <c r="C152" s="8"/>
      <c r="D152" s="8"/>
      <c r="E152" s="37" t="str">
        <f t="shared" si="2"/>
        <v/>
      </c>
      <c r="F152" s="37" t="str">
        <f t="shared" si="3"/>
        <v/>
      </c>
      <c r="G152" s="37" t="str">
        <f t="shared" si="1"/>
        <v/>
      </c>
      <c r="H152" s="37" t="str">
        <f t="shared" si="4"/>
        <v/>
      </c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ht="15.75" customHeight="1">
      <c r="A153" s="8"/>
      <c r="B153" s="8"/>
      <c r="C153" s="8"/>
      <c r="D153" s="8"/>
      <c r="E153" s="37" t="str">
        <f t="shared" si="2"/>
        <v/>
      </c>
      <c r="F153" s="37" t="str">
        <f t="shared" si="3"/>
        <v/>
      </c>
      <c r="G153" s="37" t="str">
        <f t="shared" si="1"/>
        <v/>
      </c>
      <c r="H153" s="37" t="str">
        <f t="shared" si="4"/>
        <v/>
      </c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ht="15.75" customHeight="1">
      <c r="A154" s="8"/>
      <c r="B154" s="8"/>
      <c r="C154" s="8"/>
      <c r="D154" s="8"/>
      <c r="E154" s="37" t="str">
        <f t="shared" si="2"/>
        <v/>
      </c>
      <c r="F154" s="37" t="str">
        <f t="shared" si="3"/>
        <v/>
      </c>
      <c r="G154" s="37" t="str">
        <f t="shared" si="1"/>
        <v/>
      </c>
      <c r="H154" s="37" t="str">
        <f t="shared" si="4"/>
        <v/>
      </c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ht="15.75" customHeight="1">
      <c r="A155" s="8"/>
      <c r="B155" s="8"/>
      <c r="C155" s="8"/>
      <c r="D155" s="8"/>
      <c r="E155" s="37" t="str">
        <f t="shared" si="2"/>
        <v/>
      </c>
      <c r="F155" s="37" t="str">
        <f t="shared" si="3"/>
        <v/>
      </c>
      <c r="G155" s="37" t="str">
        <f t="shared" si="1"/>
        <v/>
      </c>
      <c r="H155" s="37" t="str">
        <f t="shared" si="4"/>
        <v/>
      </c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ht="15.75" customHeight="1">
      <c r="A156" s="8"/>
      <c r="B156" s="8"/>
      <c r="C156" s="8"/>
      <c r="D156" s="8"/>
      <c r="E156" s="37" t="str">
        <f t="shared" si="2"/>
        <v/>
      </c>
      <c r="F156" s="37" t="str">
        <f t="shared" si="3"/>
        <v/>
      </c>
      <c r="G156" s="37" t="str">
        <f t="shared" si="1"/>
        <v/>
      </c>
      <c r="H156" s="37" t="str">
        <f t="shared" si="4"/>
        <v/>
      </c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ht="15.75" customHeight="1">
      <c r="A157" s="8"/>
      <c r="B157" s="8"/>
      <c r="C157" s="8"/>
      <c r="D157" s="8"/>
      <c r="E157" s="37" t="str">
        <f t="shared" si="2"/>
        <v/>
      </c>
      <c r="F157" s="37" t="str">
        <f t="shared" si="3"/>
        <v/>
      </c>
      <c r="G157" s="37" t="str">
        <f t="shared" si="1"/>
        <v/>
      </c>
      <c r="H157" s="37" t="str">
        <f t="shared" si="4"/>
        <v/>
      </c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ht="15.75" customHeight="1">
      <c r="A158" s="8"/>
      <c r="B158" s="8"/>
      <c r="C158" s="8"/>
      <c r="D158" s="8"/>
      <c r="E158" s="37" t="str">
        <f t="shared" si="2"/>
        <v/>
      </c>
      <c r="F158" s="37" t="str">
        <f t="shared" si="3"/>
        <v/>
      </c>
      <c r="G158" s="37" t="str">
        <f t="shared" si="1"/>
        <v/>
      </c>
      <c r="H158" s="37" t="str">
        <f t="shared" si="4"/>
        <v/>
      </c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ht="15.75" customHeight="1">
      <c r="A159" s="8"/>
      <c r="B159" s="8"/>
      <c r="C159" s="8"/>
      <c r="D159" s="8"/>
      <c r="E159" s="37" t="str">
        <f t="shared" si="2"/>
        <v/>
      </c>
      <c r="F159" s="37" t="str">
        <f t="shared" si="3"/>
        <v/>
      </c>
      <c r="G159" s="37" t="str">
        <f t="shared" si="1"/>
        <v/>
      </c>
      <c r="H159" s="37" t="str">
        <f t="shared" si="4"/>
        <v/>
      </c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ht="15.75" customHeight="1">
      <c r="A160" s="8"/>
      <c r="B160" s="8"/>
      <c r="C160" s="8"/>
      <c r="D160" s="8"/>
      <c r="E160" s="37" t="str">
        <f t="shared" si="2"/>
        <v/>
      </c>
      <c r="F160" s="37" t="str">
        <f t="shared" si="3"/>
        <v/>
      </c>
      <c r="G160" s="37" t="str">
        <f t="shared" si="1"/>
        <v/>
      </c>
      <c r="H160" s="37" t="str">
        <f t="shared" si="4"/>
        <v/>
      </c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ht="15.75" customHeight="1">
      <c r="A161" s="8"/>
      <c r="B161" s="8"/>
      <c r="C161" s="8"/>
      <c r="D161" s="8"/>
      <c r="E161" s="37" t="str">
        <f t="shared" si="2"/>
        <v/>
      </c>
      <c r="F161" s="37" t="str">
        <f t="shared" si="3"/>
        <v/>
      </c>
      <c r="G161" s="37" t="str">
        <f t="shared" si="1"/>
        <v/>
      </c>
      <c r="H161" s="37" t="str">
        <f t="shared" si="4"/>
        <v/>
      </c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ht="15.75" customHeight="1">
      <c r="A162" s="8"/>
      <c r="B162" s="8"/>
      <c r="C162" s="8"/>
      <c r="D162" s="8"/>
      <c r="E162" s="37" t="str">
        <f t="shared" si="2"/>
        <v/>
      </c>
      <c r="F162" s="37" t="str">
        <f t="shared" si="3"/>
        <v/>
      </c>
      <c r="G162" s="37" t="str">
        <f t="shared" si="1"/>
        <v/>
      </c>
      <c r="H162" s="37" t="str">
        <f t="shared" si="4"/>
        <v/>
      </c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ht="15.75" customHeight="1">
      <c r="A163" s="8"/>
      <c r="B163" s="8"/>
      <c r="C163" s="8"/>
      <c r="D163" s="8"/>
      <c r="E163" s="37" t="str">
        <f t="shared" si="2"/>
        <v/>
      </c>
      <c r="F163" s="37" t="str">
        <f t="shared" si="3"/>
        <v/>
      </c>
      <c r="G163" s="37" t="str">
        <f t="shared" si="1"/>
        <v/>
      </c>
      <c r="H163" s="37" t="str">
        <f t="shared" si="4"/>
        <v/>
      </c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ht="15.75" customHeight="1">
      <c r="A164" s="8"/>
      <c r="B164" s="8"/>
      <c r="C164" s="8"/>
      <c r="D164" s="8"/>
      <c r="E164" s="37" t="str">
        <f t="shared" si="2"/>
        <v/>
      </c>
      <c r="F164" s="37" t="str">
        <f t="shared" si="3"/>
        <v/>
      </c>
      <c r="G164" s="37" t="str">
        <f t="shared" si="1"/>
        <v/>
      </c>
      <c r="H164" s="37" t="str">
        <f t="shared" si="4"/>
        <v/>
      </c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ht="15.75" customHeight="1">
      <c r="A165" s="8"/>
      <c r="B165" s="8"/>
      <c r="C165" s="8"/>
      <c r="D165" s="8"/>
      <c r="E165" s="37" t="str">
        <f t="shared" si="2"/>
        <v/>
      </c>
      <c r="F165" s="37" t="str">
        <f t="shared" si="3"/>
        <v/>
      </c>
      <c r="G165" s="37" t="str">
        <f t="shared" si="1"/>
        <v/>
      </c>
      <c r="H165" s="37" t="str">
        <f t="shared" si="4"/>
        <v/>
      </c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ht="15.75" customHeight="1">
      <c r="A166" s="8"/>
      <c r="B166" s="8"/>
      <c r="C166" s="8"/>
      <c r="D166" s="8"/>
      <c r="E166" s="37" t="str">
        <f t="shared" si="2"/>
        <v/>
      </c>
      <c r="F166" s="37" t="str">
        <f t="shared" si="3"/>
        <v/>
      </c>
      <c r="G166" s="37" t="str">
        <f t="shared" si="1"/>
        <v/>
      </c>
      <c r="H166" s="37" t="str">
        <f t="shared" si="4"/>
        <v/>
      </c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ht="15.75" customHeight="1">
      <c r="A167" s="8"/>
      <c r="B167" s="8"/>
      <c r="C167" s="8"/>
      <c r="D167" s="8"/>
      <c r="E167" s="37" t="str">
        <f t="shared" si="2"/>
        <v/>
      </c>
      <c r="F167" s="37" t="str">
        <f t="shared" si="3"/>
        <v/>
      </c>
      <c r="G167" s="37" t="str">
        <f t="shared" si="1"/>
        <v/>
      </c>
      <c r="H167" s="37" t="str">
        <f t="shared" si="4"/>
        <v/>
      </c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ht="15.75" customHeight="1">
      <c r="A168" s="8"/>
      <c r="B168" s="8"/>
      <c r="C168" s="8"/>
      <c r="D168" s="8"/>
      <c r="E168" s="37" t="str">
        <f t="shared" si="2"/>
        <v/>
      </c>
      <c r="F168" s="37" t="str">
        <f t="shared" si="3"/>
        <v/>
      </c>
      <c r="G168" s="37" t="str">
        <f t="shared" si="1"/>
        <v/>
      </c>
      <c r="H168" s="37" t="str">
        <f t="shared" si="4"/>
        <v/>
      </c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ht="15.75" customHeight="1">
      <c r="A169" s="8"/>
      <c r="B169" s="8"/>
      <c r="C169" s="8"/>
      <c r="D169" s="8"/>
      <c r="E169" s="37" t="str">
        <f t="shared" si="2"/>
        <v/>
      </c>
      <c r="F169" s="37" t="str">
        <f t="shared" si="3"/>
        <v/>
      </c>
      <c r="G169" s="37" t="str">
        <f t="shared" si="1"/>
        <v/>
      </c>
      <c r="H169" s="37" t="str">
        <f t="shared" si="4"/>
        <v/>
      </c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ht="15.75" customHeight="1">
      <c r="A170" s="8"/>
      <c r="B170" s="8"/>
      <c r="C170" s="8"/>
      <c r="D170" s="8"/>
      <c r="E170" s="37" t="str">
        <f t="shared" si="2"/>
        <v/>
      </c>
      <c r="F170" s="37" t="str">
        <f t="shared" si="3"/>
        <v/>
      </c>
      <c r="G170" s="37" t="str">
        <f t="shared" si="1"/>
        <v/>
      </c>
      <c r="H170" s="37" t="str">
        <f t="shared" si="4"/>
        <v/>
      </c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ht="15.75" customHeight="1">
      <c r="A171" s="8"/>
      <c r="B171" s="8"/>
      <c r="C171" s="8"/>
      <c r="D171" s="8"/>
      <c r="E171" s="37" t="str">
        <f t="shared" si="2"/>
        <v/>
      </c>
      <c r="F171" s="37" t="str">
        <f t="shared" si="3"/>
        <v/>
      </c>
      <c r="G171" s="37" t="str">
        <f t="shared" si="1"/>
        <v/>
      </c>
      <c r="H171" s="37" t="str">
        <f t="shared" si="4"/>
        <v/>
      </c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ht="15.75" customHeight="1">
      <c r="A172" s="8"/>
      <c r="B172" s="8"/>
      <c r="C172" s="8"/>
      <c r="D172" s="8"/>
      <c r="E172" s="37" t="str">
        <f t="shared" si="2"/>
        <v/>
      </c>
      <c r="F172" s="37" t="str">
        <f t="shared" si="3"/>
        <v/>
      </c>
      <c r="G172" s="37" t="str">
        <f t="shared" si="1"/>
        <v/>
      </c>
      <c r="H172" s="37" t="str">
        <f t="shared" si="4"/>
        <v/>
      </c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ht="15.75" customHeight="1">
      <c r="A173" s="8"/>
      <c r="B173" s="8"/>
      <c r="C173" s="8"/>
      <c r="D173" s="8"/>
      <c r="E173" s="37" t="str">
        <f t="shared" si="2"/>
        <v/>
      </c>
      <c r="F173" s="37" t="str">
        <f t="shared" si="3"/>
        <v/>
      </c>
      <c r="G173" s="37" t="str">
        <f t="shared" si="1"/>
        <v/>
      </c>
      <c r="H173" s="37" t="str">
        <f t="shared" si="4"/>
        <v/>
      </c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ht="15.75" customHeight="1">
      <c r="A174" s="8"/>
      <c r="B174" s="8"/>
      <c r="C174" s="8"/>
      <c r="D174" s="8"/>
      <c r="E174" s="37" t="str">
        <f t="shared" si="2"/>
        <v/>
      </c>
      <c r="F174" s="37" t="str">
        <f t="shared" si="3"/>
        <v/>
      </c>
      <c r="G174" s="37" t="str">
        <f t="shared" si="1"/>
        <v/>
      </c>
      <c r="H174" s="37" t="str">
        <f t="shared" si="4"/>
        <v/>
      </c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ht="15.75" customHeight="1">
      <c r="A175" s="8"/>
      <c r="B175" s="8"/>
      <c r="C175" s="8"/>
      <c r="D175" s="8"/>
      <c r="E175" s="37" t="str">
        <f t="shared" si="2"/>
        <v/>
      </c>
      <c r="F175" s="37" t="str">
        <f t="shared" si="3"/>
        <v/>
      </c>
      <c r="G175" s="37" t="str">
        <f t="shared" si="1"/>
        <v/>
      </c>
      <c r="H175" s="37" t="str">
        <f t="shared" si="4"/>
        <v/>
      </c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ht="15.75" customHeight="1">
      <c r="A176" s="8"/>
      <c r="B176" s="8"/>
      <c r="C176" s="8"/>
      <c r="D176" s="8"/>
      <c r="E176" s="37" t="str">
        <f t="shared" si="2"/>
        <v/>
      </c>
      <c r="F176" s="37" t="str">
        <f t="shared" si="3"/>
        <v/>
      </c>
      <c r="G176" s="37" t="str">
        <f t="shared" si="1"/>
        <v/>
      </c>
      <c r="H176" s="37" t="str">
        <f t="shared" si="4"/>
        <v/>
      </c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ht="15.75" customHeight="1">
      <c r="A177" s="8"/>
      <c r="B177" s="8"/>
      <c r="C177" s="8"/>
      <c r="D177" s="8"/>
      <c r="E177" s="37" t="str">
        <f t="shared" si="2"/>
        <v/>
      </c>
      <c r="F177" s="37" t="str">
        <f t="shared" si="3"/>
        <v/>
      </c>
      <c r="G177" s="37" t="str">
        <f t="shared" si="1"/>
        <v/>
      </c>
      <c r="H177" s="37" t="str">
        <f t="shared" si="4"/>
        <v/>
      </c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ht="15.75" customHeight="1">
      <c r="A178" s="8"/>
      <c r="B178" s="8"/>
      <c r="C178" s="8"/>
      <c r="D178" s="8"/>
      <c r="E178" s="37" t="str">
        <f t="shared" si="2"/>
        <v/>
      </c>
      <c r="F178" s="37" t="str">
        <f t="shared" si="3"/>
        <v/>
      </c>
      <c r="G178" s="37" t="str">
        <f t="shared" si="1"/>
        <v/>
      </c>
      <c r="H178" s="37" t="str">
        <f t="shared" si="4"/>
        <v/>
      </c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ht="15.75" customHeight="1">
      <c r="A179" s="8"/>
      <c r="B179" s="8"/>
      <c r="C179" s="8"/>
      <c r="D179" s="8"/>
      <c r="E179" s="37" t="str">
        <f t="shared" si="2"/>
        <v/>
      </c>
      <c r="F179" s="37" t="str">
        <f t="shared" si="3"/>
        <v/>
      </c>
      <c r="G179" s="37" t="str">
        <f t="shared" si="1"/>
        <v/>
      </c>
      <c r="H179" s="37" t="str">
        <f t="shared" si="4"/>
        <v/>
      </c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ht="15.75" customHeight="1">
      <c r="A180" s="8"/>
      <c r="B180" s="8"/>
      <c r="C180" s="8"/>
      <c r="D180" s="8"/>
      <c r="E180" s="37" t="str">
        <f t="shared" si="2"/>
        <v/>
      </c>
      <c r="F180" s="37" t="str">
        <f t="shared" si="3"/>
        <v/>
      </c>
      <c r="G180" s="37" t="str">
        <f t="shared" si="1"/>
        <v/>
      </c>
      <c r="H180" s="37" t="str">
        <f t="shared" si="4"/>
        <v/>
      </c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ht="15.75" customHeight="1">
      <c r="A181" s="8"/>
      <c r="B181" s="8"/>
      <c r="C181" s="8"/>
      <c r="D181" s="8"/>
      <c r="E181" s="37" t="str">
        <f t="shared" si="2"/>
        <v/>
      </c>
      <c r="F181" s="37" t="str">
        <f t="shared" si="3"/>
        <v/>
      </c>
      <c r="G181" s="37" t="str">
        <f t="shared" si="1"/>
        <v/>
      </c>
      <c r="H181" s="37" t="str">
        <f t="shared" si="4"/>
        <v/>
      </c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ht="15.75" customHeight="1">
      <c r="A182" s="8"/>
      <c r="B182" s="8"/>
      <c r="C182" s="8"/>
      <c r="D182" s="8"/>
      <c r="E182" s="37" t="str">
        <f t="shared" si="2"/>
        <v/>
      </c>
      <c r="F182" s="37" t="str">
        <f t="shared" si="3"/>
        <v/>
      </c>
      <c r="G182" s="37" t="str">
        <f t="shared" si="1"/>
        <v/>
      </c>
      <c r="H182" s="37" t="str">
        <f t="shared" si="4"/>
        <v/>
      </c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ht="15.75" customHeight="1">
      <c r="A183" s="8"/>
      <c r="B183" s="8"/>
      <c r="C183" s="8"/>
      <c r="D183" s="8"/>
      <c r="E183" s="37" t="str">
        <f t="shared" si="2"/>
        <v/>
      </c>
      <c r="F183" s="37" t="str">
        <f t="shared" si="3"/>
        <v/>
      </c>
      <c r="G183" s="37" t="str">
        <f t="shared" si="1"/>
        <v/>
      </c>
      <c r="H183" s="37" t="str">
        <f t="shared" si="4"/>
        <v/>
      </c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ht="15.75" customHeight="1">
      <c r="A184" s="8"/>
      <c r="B184" s="8"/>
      <c r="C184" s="8"/>
      <c r="D184" s="8"/>
      <c r="E184" s="37" t="str">
        <f t="shared" si="2"/>
        <v/>
      </c>
      <c r="F184" s="37" t="str">
        <f t="shared" si="3"/>
        <v/>
      </c>
      <c r="G184" s="37" t="str">
        <f t="shared" si="1"/>
        <v/>
      </c>
      <c r="H184" s="37" t="str">
        <f t="shared" si="4"/>
        <v/>
      </c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ht="15.75" customHeight="1">
      <c r="A185" s="8"/>
      <c r="B185" s="8"/>
      <c r="C185" s="8"/>
      <c r="D185" s="8"/>
      <c r="E185" s="37" t="str">
        <f t="shared" si="2"/>
        <v/>
      </c>
      <c r="F185" s="37" t="str">
        <f t="shared" si="3"/>
        <v/>
      </c>
      <c r="G185" s="37" t="str">
        <f t="shared" si="1"/>
        <v/>
      </c>
      <c r="H185" s="37" t="str">
        <f t="shared" si="4"/>
        <v/>
      </c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ht="15.75" customHeight="1">
      <c r="A186" s="8"/>
      <c r="B186" s="8"/>
      <c r="C186" s="8"/>
      <c r="D186" s="8"/>
      <c r="E186" s="37" t="str">
        <f t="shared" si="2"/>
        <v/>
      </c>
      <c r="F186" s="37" t="str">
        <f t="shared" si="3"/>
        <v/>
      </c>
      <c r="G186" s="37" t="str">
        <f t="shared" si="1"/>
        <v/>
      </c>
      <c r="H186" s="37" t="str">
        <f t="shared" si="4"/>
        <v/>
      </c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ht="15.75" customHeight="1">
      <c r="A187" s="8"/>
      <c r="B187" s="8"/>
      <c r="C187" s="8"/>
      <c r="D187" s="8"/>
      <c r="E187" s="37" t="str">
        <f t="shared" si="2"/>
        <v/>
      </c>
      <c r="F187" s="37" t="str">
        <f t="shared" si="3"/>
        <v/>
      </c>
      <c r="G187" s="37" t="str">
        <f t="shared" si="1"/>
        <v/>
      </c>
      <c r="H187" s="37" t="str">
        <f t="shared" si="4"/>
        <v/>
      </c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ht="15.75" customHeight="1">
      <c r="A188" s="8"/>
      <c r="B188" s="8"/>
      <c r="C188" s="8"/>
      <c r="D188" s="8"/>
      <c r="E188" s="37" t="str">
        <f t="shared" si="2"/>
        <v/>
      </c>
      <c r="F188" s="37" t="str">
        <f t="shared" si="3"/>
        <v/>
      </c>
      <c r="G188" s="37" t="str">
        <f t="shared" si="1"/>
        <v/>
      </c>
      <c r="H188" s="37" t="str">
        <f t="shared" si="4"/>
        <v/>
      </c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ht="15.75" customHeight="1">
      <c r="A189" s="8"/>
      <c r="B189" s="8"/>
      <c r="C189" s="8"/>
      <c r="D189" s="8"/>
      <c r="E189" s="37" t="str">
        <f t="shared" si="2"/>
        <v/>
      </c>
      <c r="F189" s="37" t="str">
        <f t="shared" si="3"/>
        <v/>
      </c>
      <c r="G189" s="37" t="str">
        <f t="shared" si="1"/>
        <v/>
      </c>
      <c r="H189" s="37" t="str">
        <f t="shared" si="4"/>
        <v/>
      </c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ht="15.75" customHeight="1">
      <c r="A190" s="8"/>
      <c r="B190" s="8"/>
      <c r="C190" s="8"/>
      <c r="D190" s="8"/>
      <c r="E190" s="37" t="str">
        <f t="shared" si="2"/>
        <v/>
      </c>
      <c r="F190" s="37" t="str">
        <f t="shared" si="3"/>
        <v/>
      </c>
      <c r="G190" s="37" t="str">
        <f t="shared" si="1"/>
        <v/>
      </c>
      <c r="H190" s="37" t="str">
        <f t="shared" si="4"/>
        <v/>
      </c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ht="15.75" customHeight="1">
      <c r="A191" s="8"/>
      <c r="B191" s="8"/>
      <c r="C191" s="8"/>
      <c r="D191" s="8"/>
      <c r="E191" s="37" t="str">
        <f t="shared" si="2"/>
        <v/>
      </c>
      <c r="F191" s="37" t="str">
        <f t="shared" si="3"/>
        <v/>
      </c>
      <c r="G191" s="37" t="str">
        <f t="shared" si="1"/>
        <v/>
      </c>
      <c r="H191" s="37" t="str">
        <f t="shared" si="4"/>
        <v/>
      </c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ht="15.75" customHeight="1">
      <c r="A192" s="8"/>
      <c r="B192" s="8"/>
      <c r="C192" s="8"/>
      <c r="D192" s="8"/>
      <c r="E192" s="37" t="str">
        <f t="shared" si="2"/>
        <v/>
      </c>
      <c r="F192" s="37" t="str">
        <f t="shared" si="3"/>
        <v/>
      </c>
      <c r="G192" s="37" t="str">
        <f t="shared" si="1"/>
        <v/>
      </c>
      <c r="H192" s="37" t="str">
        <f t="shared" si="4"/>
        <v/>
      </c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ht="15.75" customHeight="1">
      <c r="A193" s="8"/>
      <c r="B193" s="8"/>
      <c r="C193" s="8"/>
      <c r="D193" s="8"/>
      <c r="E193" s="37" t="str">
        <f t="shared" si="2"/>
        <v/>
      </c>
      <c r="F193" s="37" t="str">
        <f t="shared" si="3"/>
        <v/>
      </c>
      <c r="G193" s="37" t="str">
        <f t="shared" si="1"/>
        <v/>
      </c>
      <c r="H193" s="37" t="str">
        <f t="shared" si="4"/>
        <v/>
      </c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ht="15.75" customHeight="1">
      <c r="A194" s="8"/>
      <c r="B194" s="8"/>
      <c r="C194" s="8"/>
      <c r="D194" s="8"/>
      <c r="E194" s="37" t="str">
        <f t="shared" si="2"/>
        <v/>
      </c>
      <c r="F194" s="37" t="str">
        <f t="shared" si="3"/>
        <v/>
      </c>
      <c r="G194" s="37" t="str">
        <f t="shared" si="1"/>
        <v/>
      </c>
      <c r="H194" s="37" t="str">
        <f t="shared" si="4"/>
        <v/>
      </c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ht="15.75" customHeight="1">
      <c r="A195" s="8"/>
      <c r="B195" s="8"/>
      <c r="C195" s="8"/>
      <c r="D195" s="8"/>
      <c r="E195" s="37" t="str">
        <f t="shared" si="2"/>
        <v/>
      </c>
      <c r="F195" s="37" t="str">
        <f t="shared" si="3"/>
        <v/>
      </c>
      <c r="G195" s="37" t="str">
        <f t="shared" si="1"/>
        <v/>
      </c>
      <c r="H195" s="37" t="str">
        <f t="shared" si="4"/>
        <v/>
      </c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ht="15.75" customHeight="1">
      <c r="A196" s="8"/>
      <c r="B196" s="8"/>
      <c r="C196" s="8"/>
      <c r="D196" s="8"/>
      <c r="E196" s="37" t="str">
        <f t="shared" si="2"/>
        <v/>
      </c>
      <c r="F196" s="37" t="str">
        <f t="shared" si="3"/>
        <v/>
      </c>
      <c r="G196" s="37" t="str">
        <f t="shared" si="1"/>
        <v/>
      </c>
      <c r="H196" s="37" t="str">
        <f t="shared" si="4"/>
        <v/>
      </c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ht="15.75" customHeight="1">
      <c r="A197" s="8"/>
      <c r="B197" s="8"/>
      <c r="C197" s="8"/>
      <c r="D197" s="8"/>
      <c r="E197" s="37" t="str">
        <f t="shared" si="2"/>
        <v/>
      </c>
      <c r="F197" s="37" t="str">
        <f t="shared" si="3"/>
        <v/>
      </c>
      <c r="G197" s="37" t="str">
        <f t="shared" si="1"/>
        <v/>
      </c>
      <c r="H197" s="37" t="str">
        <f t="shared" si="4"/>
        <v/>
      </c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ht="15.75" customHeight="1">
      <c r="A198" s="8"/>
      <c r="B198" s="8"/>
      <c r="C198" s="8"/>
      <c r="D198" s="8"/>
      <c r="E198" s="37" t="str">
        <f t="shared" si="2"/>
        <v/>
      </c>
      <c r="F198" s="37" t="str">
        <f t="shared" si="3"/>
        <v/>
      </c>
      <c r="G198" s="37" t="str">
        <f t="shared" si="1"/>
        <v/>
      </c>
      <c r="H198" s="37" t="str">
        <f t="shared" si="4"/>
        <v/>
      </c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ht="15.75" customHeight="1">
      <c r="A199" s="8"/>
      <c r="B199" s="8"/>
      <c r="C199" s="8"/>
      <c r="D199" s="8"/>
      <c r="E199" s="37" t="str">
        <f t="shared" si="2"/>
        <v/>
      </c>
      <c r="F199" s="37" t="str">
        <f t="shared" si="3"/>
        <v/>
      </c>
      <c r="G199" s="37" t="str">
        <f t="shared" si="1"/>
        <v/>
      </c>
      <c r="H199" s="37" t="str">
        <f t="shared" si="4"/>
        <v/>
      </c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ht="15.75" customHeight="1">
      <c r="A200" s="8"/>
      <c r="B200" s="8"/>
      <c r="C200" s="8"/>
      <c r="D200" s="8"/>
      <c r="E200" s="37" t="str">
        <f t="shared" si="2"/>
        <v/>
      </c>
      <c r="F200" s="37" t="str">
        <f t="shared" si="3"/>
        <v/>
      </c>
      <c r="G200" s="37" t="str">
        <f t="shared" si="1"/>
        <v/>
      </c>
      <c r="H200" s="37" t="str">
        <f t="shared" si="4"/>
        <v/>
      </c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